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ashboard" sheetId="1" state="visible" r:id="rId3"/>
    <sheet name="Project Instructions" sheetId="2" state="visible" r:id="rId4"/>
    <sheet name="Dataset" sheetId="3" state="visible" r:id="rId5"/>
    <sheet name="Analysis" sheetId="4" state="visible" r:id="rId6"/>
    <sheet name="What If Analysis" sheetId="5" state="visible" r:id="rId7"/>
    <sheet name="Regression" sheetId="6" state="visible" r:id="rId8"/>
    <sheet name="Descriptive Stats" sheetId="7" state="visible" r:id="rId9"/>
    <sheet name="High Value Customers" sheetId="8" state="visible" r:id="rId10"/>
  </sheets>
  <definedNames>
    <definedName function="false" hidden="true" localSheetId="2" name="_xlnm._FilterDatabase" vbProcedure="false">Dataset!$A$1:$L$201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<sst xmlns="http://schemas.openxmlformats.org/spreadsheetml/2006/main" count="1020" uniqueCount="199">
  <si>
    <t xml:space="preserve">Sales &amp; Profit Dashboard</t>
  </si>
  <si>
    <t xml:space="preserve">Project: PR. 2 Analyzer</t>
  </si>
  <si>
    <t xml:space="preserve">Total Sales</t>
  </si>
  <si>
    <t xml:space="preserve">Total Profit</t>
  </si>
  <si>
    <t xml:space="preserve">Orders</t>
  </si>
  <si>
    <t xml:space="preserve">Avg Order Value</t>
  </si>
  <si>
    <t xml:space="preserve">Avg Discount</t>
  </si>
  <si>
    <t xml:space="preserve">Profit Margin</t>
  </si>
  <si>
    <t xml:space="preserve">Top 10 Customers</t>
  </si>
  <si>
    <t xml:space="preserve">Product Sales</t>
  </si>
  <si>
    <t xml:space="preserve">Product</t>
  </si>
  <si>
    <t xml:space="preserve">Sales</t>
  </si>
  <si>
    <t xml:space="preserve">Rank</t>
  </si>
  <si>
    <t xml:space="preserve">Customer</t>
  </si>
  <si>
    <t xml:space="preserve">Purchase</t>
  </si>
  <si>
    <t xml:space="preserve">Profit</t>
  </si>
  <si>
    <t xml:space="preserve">Books</t>
  </si>
  <si>
    <t xml:space="preserve">Clothing</t>
  </si>
  <si>
    <t xml:space="preserve">Electronics</t>
  </si>
  <si>
    <t xml:space="preserve">Furniture</t>
  </si>
  <si>
    <t xml:space="preserve">Office Supplies</t>
  </si>
  <si>
    <t xml:space="preserve">Key Insights</t>
  </si>
  <si>
    <t xml:space="preserve">Data Quality</t>
  </si>
  <si>
    <t xml:space="preserve">Key Findings</t>
  </si>
  <si>
    <t xml:space="preserve">⚠ Repeated Customer_IDs have inconsistent Customer_Name values.</t>
  </si>
  <si>
    <t xml:space="preserve">• Overall profit margin: 35.0%.</t>
  </si>
  <si>
    <t xml:space="preserve">• Top region by sales: West. Top product category: Books.</t>
  </si>
  <si>
    <t xml:space="preserve">• Best sales month: 2024-09 at ₹20,533.50.</t>
  </si>
  <si>
    <t xml:space="preserve">• Customer rankings use Customer_ID because names are inconsistent for repeated IDs.</t>
  </si>
  <si>
    <t xml:space="preserve">- Sales and profit increase together in the data.</t>
  </si>
  <si>
    <t xml:space="preserve">- West has the highest sales among the regions.</t>
  </si>
  <si>
    <t xml:space="preserve">- Books is the highest-selling product category.</t>
  </si>
  <si>
    <t xml:space="preserve">- Some Customer_IDs have more than one customer name in the source data.</t>
  </si>
  <si>
    <t xml:space="preserve">- The discount table shows how profit changes if sales stay the same.</t>
  </si>
  <si>
    <t xml:space="preserve">PR. 2 Analyzer</t>
  </si>
  <si>
    <t xml:space="preserve">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</si>
  <si>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 xml:space="preserve">Customer_ID</t>
  </si>
  <si>
    <t xml:space="preserve">Customer_Name</t>
  </si>
  <si>
    <t xml:space="preserve">Region</t>
  </si>
  <si>
    <t xml:space="preserve">Product_Category</t>
  </si>
  <si>
    <t xml:space="preserve">Quantity</t>
  </si>
  <si>
    <t xml:space="preserve">Discount</t>
  </si>
  <si>
    <t xml:space="preserve">Order_Date</t>
  </si>
  <si>
    <t xml:space="preserve">Timestamp</t>
  </si>
  <si>
    <t xml:space="preserve">Customer_Total_Purchase</t>
  </si>
  <si>
    <t xml:space="preserve">Customer_Total_Profit</t>
  </si>
  <si>
    <t xml:space="preserve">CUST019</t>
  </si>
  <si>
    <t xml:space="preserve">James Davis</t>
  </si>
  <si>
    <t xml:space="preserve">West</t>
  </si>
  <si>
    <t xml:space="preserve">CUST012</t>
  </si>
  <si>
    <t xml:space="preserve">Robert Anderson</t>
  </si>
  <si>
    <t xml:space="preserve">CUST017</t>
  </si>
  <si>
    <t xml:space="preserve">James Taylor</t>
  </si>
  <si>
    <t xml:space="preserve">East</t>
  </si>
  <si>
    <t xml:space="preserve">CUST005</t>
  </si>
  <si>
    <t xml:space="preserve">South</t>
  </si>
  <si>
    <t xml:space="preserve">CUST030</t>
  </si>
  <si>
    <t xml:space="preserve">James Wilson</t>
  </si>
  <si>
    <t xml:space="preserve">North</t>
  </si>
  <si>
    <t xml:space="preserve">CUST007</t>
  </si>
  <si>
    <t xml:space="preserve">Michael Anderson</t>
  </si>
  <si>
    <t xml:space="preserve">CUST001</t>
  </si>
  <si>
    <t xml:space="preserve">Linda Wilson</t>
  </si>
  <si>
    <t xml:space="preserve">CUST026</t>
  </si>
  <si>
    <t xml:space="preserve">Mary Davis</t>
  </si>
  <si>
    <t xml:space="preserve">CUST009</t>
  </si>
  <si>
    <t xml:space="preserve">Linda Jackson</t>
  </si>
  <si>
    <t xml:space="preserve">Central</t>
  </si>
  <si>
    <t xml:space="preserve">CUST010</t>
  </si>
  <si>
    <t xml:space="preserve">David Thomas</t>
  </si>
  <si>
    <t xml:space="preserve">CUST014</t>
  </si>
  <si>
    <t xml:space="preserve">Emma Davis</t>
  </si>
  <si>
    <t xml:space="preserve">CUST023</t>
  </si>
  <si>
    <t xml:space="preserve">CUST029</t>
  </si>
  <si>
    <t xml:space="preserve">David Smith</t>
  </si>
  <si>
    <t xml:space="preserve">Sarah Anderson</t>
  </si>
  <si>
    <t xml:space="preserve">CUST008</t>
  </si>
  <si>
    <t xml:space="preserve">Lisa Thomas</t>
  </si>
  <si>
    <t xml:space="preserve">CUST006</t>
  </si>
  <si>
    <t xml:space="preserve">Mary Jackson</t>
  </si>
  <si>
    <t xml:space="preserve">Lisa Davis</t>
  </si>
  <si>
    <t xml:space="preserve">CUST022</t>
  </si>
  <si>
    <t xml:space="preserve">Linda Brown</t>
  </si>
  <si>
    <t xml:space="preserve">John Brown</t>
  </si>
  <si>
    <t xml:space="preserve">CUST028</t>
  </si>
  <si>
    <t xml:space="preserve">Linda Taylor</t>
  </si>
  <si>
    <t xml:space="preserve">CUST025</t>
  </si>
  <si>
    <t xml:space="preserve">David Brown</t>
  </si>
  <si>
    <t xml:space="preserve">David Davis</t>
  </si>
  <si>
    <t xml:space="preserve">CUST021</t>
  </si>
  <si>
    <t xml:space="preserve">CUST015</t>
  </si>
  <si>
    <t xml:space="preserve">Mary Wilson</t>
  </si>
  <si>
    <t xml:space="preserve">CUST016</t>
  </si>
  <si>
    <t xml:space="preserve">Emma Wilson</t>
  </si>
  <si>
    <t xml:space="preserve">Linda Davis</t>
  </si>
  <si>
    <t xml:space="preserve">CUST011</t>
  </si>
  <si>
    <t xml:space="preserve">Sarah Davis</t>
  </si>
  <si>
    <t xml:space="preserve">CUST002</t>
  </si>
  <si>
    <t xml:space="preserve">Emma Taylor</t>
  </si>
  <si>
    <t xml:space="preserve">CUST003</t>
  </si>
  <si>
    <t xml:space="preserve">CUST020</t>
  </si>
  <si>
    <t xml:space="preserve">Linda Moore</t>
  </si>
  <si>
    <t xml:space="preserve">CUST024</t>
  </si>
  <si>
    <t xml:space="preserve">David Anderson</t>
  </si>
  <si>
    <t xml:space="preserve">CUST004</t>
  </si>
  <si>
    <t xml:space="preserve">CUST013</t>
  </si>
  <si>
    <t xml:space="preserve">CUST027</t>
  </si>
  <si>
    <t xml:space="preserve">CUST018</t>
  </si>
  <si>
    <t xml:space="preserve">Monthly Sales Analysis</t>
  </si>
  <si>
    <t xml:space="preserve">Monthly Sales</t>
  </si>
  <si>
    <t xml:space="preserve">Month</t>
  </si>
  <si>
    <t xml:space="preserve">Sales Growth</t>
  </si>
  <si>
    <t xml:space="preserve">Growth Indicator</t>
  </si>
  <si>
    <t xml:space="preserve">N/A</t>
  </si>
  <si>
    <t xml:space="preserve">—</t>
  </si>
  <si>
    <t xml:space="preserve">Sales by Region and Product</t>
  </si>
  <si>
    <t xml:space="preserve">Total</t>
  </si>
  <si>
    <t xml:space="preserve">• Sales are spread across 13 months, with month-to-month growth varying across the period.</t>
  </si>
  <si>
    <t xml:space="preserve">• Sales and profit have a strong positive relationship; higher sales generally correspond to higher profit.</t>
  </si>
  <si>
    <t xml:space="preserve">• Customer-level totals reveal a small group of high-value customers who contribute disproportionately to revenue.</t>
  </si>
  <si>
    <t xml:space="preserve">• Discount scenarios show that lowering discounts can increase modeled profit when sales volume is held constant.</t>
  </si>
  <si>
    <t xml:space="preserve">• Region and product summaries highlight where sales concentration is strongest and support targeted business decisions.</t>
  </si>
  <si>
    <t xml:space="preserve">WHAT IF Analysis - Discount Impact</t>
  </si>
  <si>
    <t xml:space="preserve">Discount Scenarios</t>
  </si>
  <si>
    <t xml:space="preserve">Current total profit</t>
  </si>
  <si>
    <t xml:space="preserve">Current total sales</t>
  </si>
  <si>
    <t xml:space="preserve">Current average discount</t>
  </si>
  <si>
    <t xml:space="preserve">Discount Sensitivity Table</t>
  </si>
  <si>
    <t xml:space="preserve">Scenario Discount</t>
  </si>
  <si>
    <t xml:space="preserve">Discount Change</t>
  </si>
  <si>
    <t xml:space="preserve">Modeled Total Profit</t>
  </si>
  <si>
    <t xml:space="preserve">Profit Change</t>
  </si>
  <si>
    <t xml:space="preserve">Profit Change %</t>
  </si>
  <si>
    <t xml:space="preserve">Interpretation</t>
  </si>
  <si>
    <t xml:space="preserve">Note:</t>
  </si>
  <si>
    <t xml:space="preserve">Modeled profit assumes sales volume stays constant and only the discount changes; this is a sensitivity estimate, not a forecast.</t>
  </si>
  <si>
    <t xml:space="preserve">Notes</t>
  </si>
  <si>
    <t xml:space="preserve">Lowest discount tested</t>
  </si>
  <si>
    <t xml:space="preserve">Highest modeled profit</t>
  </si>
  <si>
    <t xml:space="preserve">Profit improvement vs current</t>
  </si>
  <si>
    <t xml:space="preserve">Linear Regression - Profit vs Sales</t>
  </si>
  <si>
    <t xml:space="preserve">Regression Summary</t>
  </si>
  <si>
    <t xml:space="preserve">Multiple R</t>
  </si>
  <si>
    <t xml:space="preserve">R Square</t>
  </si>
  <si>
    <t xml:space="preserve">Adjusted R Square</t>
  </si>
  <si>
    <t xml:space="preserve">Standard Error</t>
  </si>
  <si>
    <t xml:space="preserve">Observations</t>
  </si>
  <si>
    <t xml:space="preserve">ANOVA</t>
  </si>
  <si>
    <t xml:space="preserve">df</t>
  </si>
  <si>
    <t xml:space="preserve">SS</t>
  </si>
  <si>
    <t xml:space="preserve">MS</t>
  </si>
  <si>
    <t xml:space="preserve">F</t>
  </si>
  <si>
    <t xml:space="preserve">Significance F</t>
  </si>
  <si>
    <t xml:space="preserve">Regression</t>
  </si>
  <si>
    <t xml:space="preserve">Residual</t>
  </si>
  <si>
    <t xml:space="preserve">Coefficients</t>
  </si>
  <si>
    <t xml:space="preserve">Term</t>
  </si>
  <si>
    <t xml:space="preserve">Coefficient</t>
  </si>
  <si>
    <t xml:space="preserve">t Stat</t>
  </si>
  <si>
    <t xml:space="preserve">Intercept</t>
  </si>
  <si>
    <t xml:space="preserve">Equation</t>
  </si>
  <si>
    <t xml:space="preserve">Descriptive Statistics and Histogram</t>
  </si>
  <si>
    <t xml:space="preserve">Descriptive Statistics</t>
  </si>
  <si>
    <t xml:space="preserve">Statistic</t>
  </si>
  <si>
    <t xml:space="preserve">Mean</t>
  </si>
  <si>
    <t xml:space="preserve">Median</t>
  </si>
  <si>
    <t xml:space="preserve">Mode</t>
  </si>
  <si>
    <t xml:space="preserve">Standard Deviation</t>
  </si>
  <si>
    <t xml:space="preserve">Sample Variance</t>
  </si>
  <si>
    <t xml:space="preserve">Kurtosis</t>
  </si>
  <si>
    <t xml:space="preserve">Skewness</t>
  </si>
  <si>
    <t xml:space="preserve">Range</t>
  </si>
  <si>
    <t xml:space="preserve">Minimum</t>
  </si>
  <si>
    <t xml:space="preserve">Maximum</t>
  </si>
  <si>
    <t xml:space="preserve">Sum</t>
  </si>
  <si>
    <t xml:space="preserve">Count</t>
  </si>
  <si>
    <t xml:space="preserve">Sales Histogram Bins</t>
  </si>
  <si>
    <t xml:space="preserve">0–500</t>
  </si>
  <si>
    <t xml:space="preserve">250–750</t>
  </si>
  <si>
    <t xml:space="preserve">500–1000</t>
  </si>
  <si>
    <t xml:space="preserve">750–1250</t>
  </si>
  <si>
    <t xml:space="preserve">1000–1500</t>
  </si>
  <si>
    <t xml:space="preserve">1250–1750</t>
  </si>
  <si>
    <t xml:space="preserve">1500–2000</t>
  </si>
  <si>
    <t xml:space="preserve">1750+</t>
  </si>
  <si>
    <t xml:space="preserve">2000+</t>
  </si>
  <si>
    <t xml:space="preserve">1400-1600</t>
  </si>
  <si>
    <t xml:space="preserve">1600-1800</t>
  </si>
  <si>
    <t xml:space="preserve">1800-2000</t>
  </si>
  <si>
    <t xml:space="preserve">High-Value Customer Analysis</t>
  </si>
  <si>
    <t xml:space="preserve">Customer Totals</t>
  </si>
  <si>
    <t xml:space="preserve">Customer_Name (INDEX/MATCH)</t>
  </si>
  <si>
    <t xml:space="preserve">Total Purchase</t>
  </si>
  <si>
    <t xml:space="preserve">High Value?</t>
  </si>
  <si>
    <t xml:space="preserve">Note</t>
  </si>
  <si>
    <t xml:space="preserve">Customer_ID is used for grouping because some IDs have different names.</t>
  </si>
  <si>
    <t xml:space="preserve">"High Value"</t>
  </si>
  <si>
    <t xml:space="preserve">Region / Product</t>
  </si>
  <si>
    <t xml:space="preserve">Grand Total</t>
  </si>
</sst>
</file>

<file path=xl/styles.xml><?xml version="1.0" encoding="utf-8"?>
<styleSheet xmlns="http://schemas.openxmlformats.org/spreadsheetml/2006/main">
  <numFmts count="11">
    <numFmt numFmtId="164" formatCode="General"/>
    <numFmt numFmtId="165" formatCode="#,##0.00"/>
    <numFmt numFmtId="166" formatCode="0.0%"/>
    <numFmt numFmtId="167" formatCode="0%"/>
    <numFmt numFmtId="168" formatCode="dd\-mmm\-yyyy"/>
    <numFmt numFmtId="169" formatCode="dd\-mmm\-yyyy\ hh:mm"/>
    <numFmt numFmtId="170" formatCode="mmm\-yyyy"/>
    <numFmt numFmtId="171" formatCode="[GREEN]&quot;▲ &quot;0.0%;[RED]&quot;▼ &quot;0.0%;\-"/>
    <numFmt numFmtId="172" formatCode="0.0000"/>
    <numFmt numFmtId="173" formatCode="0"/>
    <numFmt numFmtId="174" formatCode="#,##0"/>
  </numFmts>
  <fonts count="11">
    <font>
      <sz val="11"/>
      <color theme="1"/>
      <name val="Calibri"/>
      <family val="0"/>
      <charset val="1"/>
    </font>
    <font>
      <sz val="10"/>
      <name val="Arial"/>
      <family val="0"/>
    </font>
    <font>
      <sz val="10"/>
      <name val="Arial"/>
      <family val="0"/>
    </font>
    <font>
      <sz val="10"/>
      <name val="Arial"/>
      <family val="0"/>
    </font>
    <font>
      <b val="true"/>
      <sz val="11"/>
      <name val="Calibri"/>
      <family val="0"/>
      <charset val="1"/>
    </font>
    <font>
      <sz val="11"/>
      <color rgb="FF000000"/>
      <name val="Calibri"/>
      <family val="0"/>
      <charset val="1"/>
    </font>
    <font>
      <b val="true"/>
      <sz val="11"/>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Cambria"/>
      <family val="0"/>
      <charset val="1"/>
    </font>
  </fonts>
  <fills count="8">
    <fill>
      <patternFill patternType="none"/>
    </fill>
    <fill>
      <patternFill patternType="gray125"/>
    </fill>
    <fill>
      <patternFill patternType="solid">
        <fgColor rgb="FFD9EAF7"/>
        <bgColor rgb="FFD9E1F2"/>
      </patternFill>
    </fill>
    <fill>
      <patternFill patternType="solid">
        <fgColor rgb="FFEAF2F8"/>
        <bgColor rgb="FFD9EAF7"/>
      </patternFill>
    </fill>
    <fill>
      <patternFill patternType="solid">
        <fgColor rgb="FF1F4E78"/>
        <bgColor rgb="FF17365D"/>
      </patternFill>
    </fill>
    <fill>
      <patternFill patternType="solid">
        <fgColor rgb="FF17365D"/>
        <bgColor rgb="FF333333"/>
      </patternFill>
    </fill>
    <fill>
      <patternFill patternType="solid">
        <fgColor rgb="FF5B9BD5"/>
        <bgColor rgb="FF4BACC6"/>
      </patternFill>
    </fill>
    <fill>
      <patternFill patternType="solid">
        <fgColor rgb="FF2F75B5"/>
        <bgColor rgb="FF4F81BD"/>
      </patternFill>
    </fill>
  </fills>
  <borders count="5">
    <border diagonalUp="false" diagonalDown="false">
      <left/>
      <right/>
      <top/>
      <bottom/>
      <diagonal/>
    </border>
    <border diagonalUp="false" diagonalDown="false">
      <left/>
      <right/>
      <top/>
      <bottom style="thin">
        <color rgb="FFB7B7B7"/>
      </bottom>
      <diagonal/>
    </border>
    <border diagonalUp="false" diagonalDown="false">
      <left style="thin">
        <color rgb="FFD9E1F2"/>
      </left>
      <right style="thin">
        <color rgb="FFD9E1F2"/>
      </right>
      <top style="thin">
        <color rgb="FFD9E1F2"/>
      </top>
      <bottom style="thin">
        <color rgb="FFD9E1F2"/>
      </bottom>
      <diagonal/>
    </border>
    <border diagonalUp="false" diagonalDown="false">
      <left style="thin"/>
      <right style="thin"/>
      <top style="thin"/>
      <bottom style="thin"/>
      <diagonal/>
    </border>
    <border diagonalUp="false" diagonalDown="false">
      <left/>
      <right style="thin">
        <color rgb="FFD9E1F2"/>
      </right>
      <top/>
      <bottom style="thin">
        <color rgb="FFD9E1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5" fontId="5" fillId="2" borderId="0" xfId="0" applyFont="true" applyBorder="true" applyAlignment="true" applyProtection="false">
      <alignment horizontal="general" vertical="center" textRotation="0" wrapText="false" indent="0" shrinkToFit="false"/>
      <protection locked="true" hidden="false"/>
    </xf>
    <xf numFmtId="166" fontId="5" fillId="2" borderId="0"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general" vertical="center" textRotation="0" wrapText="false" indent="0" shrinkToFit="false"/>
      <protection locked="true" hidden="false"/>
    </xf>
    <xf numFmtId="164" fontId="6" fillId="2" borderId="2" xfId="0" applyFont="true" applyBorder="true" applyAlignment="true" applyProtection="false">
      <alignment horizontal="general" vertical="center" textRotation="0" wrapText="false" indent="0" shrinkToFit="false"/>
      <protection locked="true" hidden="false"/>
    </xf>
    <xf numFmtId="165" fontId="6" fillId="2" borderId="2"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5" fontId="6"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4" borderId="3" xfId="0" applyFont="true" applyBorder="true" applyAlignment="true" applyProtection="false">
      <alignment horizontal="general" vertical="center" textRotation="0" wrapText="false" indent="0" shrinkToFit="false"/>
      <protection locked="true" hidden="false"/>
    </xf>
    <xf numFmtId="164" fontId="6" fillId="2" borderId="3" xfId="0" applyFont="true" applyBorder="tru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7" fontId="5" fillId="0" borderId="0" xfId="0" applyFont="true" applyBorder="false" applyAlignment="true" applyProtection="false">
      <alignment horizontal="general" vertical="center" textRotation="0" wrapText="false" indent="0" shrinkToFit="false"/>
      <protection locked="true" hidden="false"/>
    </xf>
    <xf numFmtId="168" fontId="5" fillId="0" borderId="0" xfId="0" applyFont="true" applyBorder="false" applyAlignment="true" applyProtection="false">
      <alignment horizontal="general" vertical="center" textRotation="0" wrapText="false" indent="0" shrinkToFit="false"/>
      <protection locked="true" hidden="false"/>
    </xf>
    <xf numFmtId="169" fontId="5" fillId="0" borderId="2" xfId="0" applyFont="true" applyBorder="true" applyAlignment="true" applyProtection="false">
      <alignment horizontal="general" vertical="center" textRotation="0" wrapText="false" indent="0" shrinkToFit="false"/>
      <protection locked="true" hidden="false"/>
    </xf>
    <xf numFmtId="165" fontId="5" fillId="0" borderId="2" xfId="0" applyFont="true" applyBorder="true" applyAlignment="true" applyProtection="false">
      <alignment horizontal="general" vertical="center" textRotation="0" wrapText="false" indent="0" shrinkToFit="false"/>
      <protection locked="true" hidden="false"/>
    </xf>
    <xf numFmtId="170" fontId="5" fillId="0" borderId="2"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71" fontId="5" fillId="0" borderId="2"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5" fontId="5" fillId="2" borderId="2" xfId="0" applyFont="true" applyBorder="true" applyAlignment="true" applyProtection="false">
      <alignment horizontal="general" vertical="center" textRotation="0" wrapText="false" indent="0" shrinkToFit="false"/>
      <protection locked="true" hidden="false"/>
    </xf>
    <xf numFmtId="165" fontId="5" fillId="2" borderId="0" xfId="0" applyFont="true" applyBorder="fals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true" applyAlignment="true" applyProtection="false">
      <alignment horizontal="general" vertical="center" textRotation="0" wrapText="false" indent="0" shrinkToFit="false"/>
      <protection locked="true" hidden="false"/>
    </xf>
    <xf numFmtId="167" fontId="5" fillId="0" borderId="2" xfId="0" applyFont="true" applyBorder="true" applyAlignment="true" applyProtection="false">
      <alignment horizontal="general" vertical="center" textRotation="0" wrapText="false" indent="0" shrinkToFit="false"/>
      <protection locked="true" hidden="false"/>
    </xf>
    <xf numFmtId="166" fontId="5" fillId="0" borderId="2" xfId="0" applyFont="true" applyBorder="true" applyAlignment="true" applyProtection="false">
      <alignment horizontal="general" vertical="center" textRotation="0" wrapText="false" indent="0" shrinkToFit="false"/>
      <protection locked="true" hidden="false"/>
    </xf>
    <xf numFmtId="172" fontId="5" fillId="0" borderId="2" xfId="0" applyFont="true" applyBorder="true" applyAlignment="true" applyProtection="false">
      <alignment horizontal="general" vertical="center" textRotation="0" wrapText="false" indent="0" shrinkToFit="false"/>
      <protection locked="true" hidden="false"/>
    </xf>
    <xf numFmtId="173" fontId="5" fillId="0" borderId="2" xfId="0" applyFont="true" applyBorder="true" applyAlignment="true" applyProtection="false">
      <alignment horizontal="general" vertical="center" textRotation="0" wrapText="false" indent="0" shrinkToFit="false"/>
      <protection locked="true" hidden="false"/>
    </xf>
    <xf numFmtId="164" fontId="10" fillId="7" borderId="0" xfId="0" applyFont="true" applyBorder="false" applyAlignment="true" applyProtection="false">
      <alignment horizontal="left" vertical="bottom"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5" borderId="2" xfId="0" applyFont="true" applyBorder="true" applyAlignment="true" applyProtection="false">
      <alignment horizontal="general" vertical="center" textRotation="0" wrapText="false" indent="0" shrinkToFit="false"/>
      <protection locked="true" hidden="false"/>
    </xf>
    <xf numFmtId="172"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74" fontId="5" fillId="0" borderId="2" xfId="0" applyFont="true" applyBorder="true" applyAlignment="true" applyProtection="false">
      <alignment horizontal="general" vertical="center" textRotation="0" wrapText="false" indent="0" shrinkToFit="false"/>
      <protection locked="true" hidden="false"/>
    </xf>
    <xf numFmtId="164" fontId="4" fillId="3" borderId="4"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AF2F8"/>
          <bgColor rgb="FF000000"/>
        </patternFill>
      </fill>
    </dxf>
    <dxf>
      <fill>
        <patternFill patternType="solid">
          <bgColor rgb="FF000000"/>
        </patternFill>
      </fill>
    </dxf>
    <dxf>
      <fill>
        <patternFill patternType="solid">
          <fgColor rgb="FF000000"/>
          <bgColor rgb="FF000000"/>
        </patternFill>
      </fill>
    </dxf>
    <dxf>
      <fill>
        <patternFill>
          <bgColor rgb="FFE2F0D9"/>
        </patternFill>
      </fill>
    </dxf>
    <dxf>
      <font>
        <b val="1"/>
        <color rgb="FF70AD47"/>
      </font>
    </dxf>
    <dxf>
      <font>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B7B7B7"/>
      <rgbColor rgb="FF8B8B8B"/>
      <rgbColor rgb="FF5B9BD5"/>
      <rgbColor rgb="FFC0504D"/>
      <rgbColor rgb="FFD9E1F2"/>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8"/>
      <rgbColor rgb="FFE2F0D9"/>
      <rgbColor rgb="FFFFFF99"/>
      <rgbColor rgb="FF99CCFF"/>
      <rgbColor rgb="FFFF99CC"/>
      <rgbColor rgb="FFCC99FF"/>
      <rgbColor rgb="FFFFCC99"/>
      <rgbColor rgb="FF2F75B5"/>
      <rgbColor rgb="FF4BACC6"/>
      <rgbColor rgb="FF9BBB59"/>
      <rgbColor rgb="FFFFCC00"/>
      <rgbColor rgb="FFFF9900"/>
      <rgbColor rgb="FFFF6600"/>
      <rgbColor rgb="FF8064A2"/>
      <rgbColor rgb="FFB3B3B3"/>
      <rgbColor rgb="FF17365D"/>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Sales by Region</a:t>
            </a:r>
          </a:p>
        </c:rich>
      </c:tx>
      <c:overlay val="0"/>
      <c:spPr>
        <a:noFill/>
        <a:ln w="0">
          <a:noFill/>
        </a:ln>
      </c:spPr>
    </c:title>
    <c:autoTitleDeleted val="0"/>
    <c:plotArea>
      <c:barChart>
        <c:barDir val="col"/>
        <c:grouping val="clustered"/>
        <c:varyColors val="0"/>
        <c:ser>
          <c:idx val="0"/>
          <c:order val="0"/>
          <c:tx>
            <c:strRef>
              <c:f>'High Value Customers'!G52</c:f>
              <c:strCache>
                <c:ptCount val="1"/>
                <c:pt idx="0">
                  <c:v>Total</c:v>
                </c:pt>
              </c:strCache>
            </c:strRef>
          </c:tx>
          <c:spPr>
            <a:solidFill>
              <a:srgbClr val="4f81bd"/>
            </a:solidFill>
            <a:ln w="0">
              <a:noFill/>
            </a:ln>
          </c:spPr>
          <c:invertIfNegative val="0"/>
          <c:dLbls>
            <c:txPr>
              <a:bodyPr wrap="square"/>
              <a:lstStyle/>
              <a:p>
                <a:pPr>
                  <a:defRPr b="0" sz="1000" strike="noStrike" u="none">
                    <a:solidFill>
                      <a:srgbClr val="000000"/>
                    </a:solidFill>
                    <a:uFillTx/>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'High Value Customers'!$A$53:$A$57</c:f>
              <c:strCache>
                <c:ptCount val="5"/>
                <c:pt idx="0">
                  <c:v>Central</c:v>
                </c:pt>
                <c:pt idx="1">
                  <c:v>East</c:v>
                </c:pt>
                <c:pt idx="2">
                  <c:v>North</c:v>
                </c:pt>
                <c:pt idx="3">
                  <c:v>South</c:v>
                </c:pt>
                <c:pt idx="4">
                  <c:v>West</c:v>
                </c:pt>
              </c:strCache>
            </c:strRef>
          </c:cat>
          <c:val>
            <c:numRef>
              <c:f>'High Value Customers'!$G$53:$G$57</c:f>
              <c:numCache>
                <c:formatCode>#,##0.00</c:formatCode>
                <c:ptCount val="5"/>
                <c:pt idx="0">
                  <c:v>43468.33</c:v>
                </c:pt>
                <c:pt idx="1">
                  <c:v>32441.64</c:v>
                </c:pt>
                <c:pt idx="2">
                  <c:v>34975.42</c:v>
                </c:pt>
                <c:pt idx="3">
                  <c:v>40248.79</c:v>
                </c:pt>
                <c:pt idx="4">
                  <c:v>44083.58</c:v>
                </c:pt>
              </c:numCache>
            </c:numRef>
          </c:val>
        </c:ser>
        <c:gapWidth val="150"/>
        <c:overlap val="0"/>
        <c:axId val="84229080"/>
        <c:axId val="27308765"/>
      </c:barChart>
      <c:catAx>
        <c:axId val="84229080"/>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ea typeface="Calibri"/>
                  </a:rPr>
                  <a:t>Region</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27308765"/>
        <c:crosses val="autoZero"/>
        <c:auto val="1"/>
        <c:lblAlgn val="ctr"/>
        <c:lblOffset val="100"/>
        <c:noMultiLvlLbl val="0"/>
      </c:catAx>
      <c:valAx>
        <c:axId val="27308765"/>
        <c:scaling>
          <c:orientation val="minMax"/>
        </c:scaling>
        <c:delete val="0"/>
        <c:axPos val="l"/>
        <c:majorGridlines>
          <c:spPr>
            <a:ln w="6480">
              <a:solidFill>
                <a:srgbClr val="8b8b8b"/>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Sales</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84229080"/>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Monthly Sales Trend</a:t>
            </a:r>
          </a:p>
        </c:rich>
      </c:tx>
      <c:overlay val="0"/>
      <c:spPr>
        <a:noFill/>
        <a:ln w="0">
          <a:noFill/>
        </a:ln>
      </c:spPr>
    </c:title>
    <c:autoTitleDeleted val="0"/>
    <c:plotArea>
      <c:lineChart>
        <c:grouping val="standard"/>
        <c:varyColors val="0"/>
        <c:ser>
          <c:idx val="0"/>
          <c:order val="0"/>
          <c:tx>
            <c:strRef>
              <c:f>Analysis!B4</c:f>
              <c:strCache>
                <c:ptCount val="1"/>
                <c:pt idx="0">
                  <c:v>Sales</c:v>
                </c:pt>
              </c:strCache>
            </c:strRef>
          </c:tx>
          <c:spPr>
            <a:solidFill>
              <a:srgbClr val="4f81bd"/>
            </a:solidFill>
            <a:ln w="19080">
              <a:solidFill>
                <a:srgbClr val="4f81bd"/>
              </a:solidFill>
              <a:round/>
            </a:ln>
          </c:spPr>
          <c:marker>
            <c:symbol val="none"/>
          </c:marker>
          <c:dLbls>
            <c:txPr>
              <a:bodyPr wrap="square"/>
              <a:lstStyle/>
              <a:p>
                <a:pPr>
                  <a:defRPr b="0" sz="1000" strike="noStrike" u="none">
                    <a:solidFill>
                      <a:srgbClr val="000000"/>
                    </a:solidFill>
                    <a:uFillTx/>
                    <a:latin typeface="Arial"/>
                    <a:ea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Analysis!$A$5:$A$17</c:f>
              <c:strCache>
                <c:ptCount val="13"/>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pt idx="12">
                  <c:v>Apr-2025</c:v>
                </c:pt>
              </c:strCache>
            </c:strRef>
          </c:cat>
          <c:val>
            <c:numRef>
              <c:f>Analysis!$B$5:$B$17</c:f>
              <c:numCache>
                <c:formatCode>#,##0.00</c:formatCode>
                <c:ptCount val="13"/>
                <c:pt idx="0">
                  <c:v>19029.96</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pt idx="12">
                  <c:v>3212.17</c:v>
                </c:pt>
              </c:numCache>
            </c:numRef>
          </c:val>
          <c:smooth val="1"/>
        </c:ser>
        <c:hiLowLines>
          <c:spPr>
            <a:ln w="0">
              <a:noFill/>
            </a:ln>
          </c:spPr>
        </c:hiLowLines>
        <c:marker val="0"/>
        <c:axId val="24203255"/>
        <c:axId val="65065294"/>
      </c:lineChart>
      <c:catAx>
        <c:axId val="24203255"/>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ea typeface="Calibri"/>
                  </a:rPr>
                  <a:t>Month</a:t>
                </a:r>
              </a:p>
            </c:rich>
          </c:tx>
          <c:overlay val="0"/>
          <c:spPr>
            <a:noFill/>
            <a:ln w="0">
              <a:noFill/>
            </a:ln>
          </c:spPr>
        </c:title>
        <c:numFmt formatCode="mmm\-yyyy"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65065294"/>
        <c:crosses val="autoZero"/>
        <c:auto val="1"/>
        <c:lblAlgn val="ctr"/>
        <c:lblOffset val="100"/>
        <c:noMultiLvlLbl val="0"/>
      </c:catAx>
      <c:valAx>
        <c:axId val="65065294"/>
        <c:scaling>
          <c:orientation val="minMax"/>
        </c:scaling>
        <c:delete val="0"/>
        <c:axPos val="l"/>
        <c:majorGridlines>
          <c:spPr>
            <a:ln w="6480">
              <a:solidFill>
                <a:srgbClr val="8b8b8b"/>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Sales</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24203255"/>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Sales by Product Category</a:t>
            </a:r>
          </a:p>
        </c:rich>
      </c:tx>
      <c:overlay val="0"/>
      <c:spPr>
        <a:noFill/>
        <a:ln w="0">
          <a:noFill/>
        </a:ln>
      </c:spPr>
    </c:title>
    <c:autoTitleDeleted val="0"/>
    <c:plotArea>
      <c:pieChart>
        <c:varyColors val="1"/>
        <c:ser>
          <c:idx val="0"/>
          <c:order val="0"/>
          <c:tx>
            <c:strRef>
              <c:f>Dashboard!L8</c:f>
              <c:strCache>
                <c:ptCount val="1"/>
                <c:pt idx="0">
                  <c:v>Sales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numFmt formatCode="#,##0.00" sourceLinked="1"/>
            <c:dLbl>
              <c:idx val="0"/>
              <c:numFmt formatCode="#,##0.00" sourceLinked="1"/>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dLbl>
            <c:dLbl>
              <c:idx val="1"/>
              <c:numFmt formatCode="#,##0.00" sourceLinked="1"/>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dLbl>
            <c:dLbl>
              <c:idx val="2"/>
              <c:numFmt formatCode="#,##0.00" sourceLinked="1"/>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dLbl>
            <c:dLbl>
              <c:idx val="3"/>
              <c:numFmt formatCode="#,##0.00" sourceLinked="1"/>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dLbl>
            <c:dLbl>
              <c:idx val="4"/>
              <c:numFmt formatCode="#,##0.00" sourceLinked="1"/>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dLbl>
            <c:txPr>
              <a:bodyPr wrap="square"/>
              <a:lstStyle/>
              <a:p>
                <a:pPr>
                  <a:defRPr b="0" sz="1000" strike="noStrike" u="none">
                    <a:solidFill>
                      <a:srgbClr val="000000"/>
                    </a:solidFill>
                    <a:uFillTx/>
                    <a:latin typeface="Calibri"/>
                    <a:ea typeface="Calibri"/>
                  </a:defRPr>
                </a:pPr>
              </a:p>
            </c:txPr>
            <c:dLblPos val="bestFit"/>
            <c:showLegendKey val="1"/>
            <c:showVal val="1"/>
            <c:showCatName val="1"/>
            <c:showSerName val="1"/>
            <c:showPercent val="1"/>
            <c:separator>; </c:separator>
            <c:showLeaderLines val="1"/>
          </c:dLbls>
          <c:cat>
            <c:strRef>
              <c:f>Dashboard!$K$9:$K$13</c:f>
              <c:strCache>
                <c:ptCount val="5"/>
                <c:pt idx="0">
                  <c:v>Books</c:v>
                </c:pt>
                <c:pt idx="1">
                  <c:v>Clothing</c:v>
                </c:pt>
                <c:pt idx="2">
                  <c:v>Electronics</c:v>
                </c:pt>
                <c:pt idx="3">
                  <c:v>Furniture</c:v>
                </c:pt>
                <c:pt idx="4">
                  <c:v>Office Supplies</c:v>
                </c:pt>
              </c:strCache>
            </c:strRef>
          </c:cat>
          <c:val>
            <c:numRef>
              <c:f>Dashboard!$L$9:$L$13</c:f>
              <c:numCache>
                <c:formatCode>#,##0.00</c:formatCode>
                <c:ptCount val="5"/>
                <c:pt idx="0">
                  <c:v>47002.46</c:v>
                </c:pt>
                <c:pt idx="1">
                  <c:v>41927.59</c:v>
                </c:pt>
                <c:pt idx="2">
                  <c:v>41044</c:v>
                </c:pt>
                <c:pt idx="3">
                  <c:v>36612.89</c:v>
                </c:pt>
                <c:pt idx="4">
                  <c:v>28630.82</c:v>
                </c:pt>
              </c:numCache>
            </c:numRef>
          </c:val>
        </c:ser>
        <c:firstSliceAng val="0"/>
      </c:pieChart>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Profit vs Sales Regression</a:t>
            </a:r>
          </a:p>
        </c:rich>
      </c:tx>
      <c:overlay val="0"/>
      <c:spPr>
        <a:noFill/>
        <a:ln w="0">
          <a:noFill/>
        </a:ln>
      </c:spPr>
    </c:title>
    <c:autoTitleDeleted val="0"/>
    <c:plotArea>
      <c:scatterChart>
        <c:scatterStyle val="line"/>
        <c:varyColors val="0"/>
        <c:ser>
          <c:idx val="0"/>
          <c:order val="0"/>
          <c:tx>
            <c:strRef>
              <c:f>"Transactions"</c:f>
              <c:strCache>
                <c:ptCount val="1"/>
                <c:pt idx="0">
                  <c:v>Transactions</c:v>
                </c:pt>
              </c:strCache>
            </c:strRef>
          </c:tx>
          <c:spPr>
            <a:solidFill>
              <a:srgbClr val="4f81bd"/>
            </a:solidFill>
            <a:ln w="19080">
              <a:solidFill>
                <a:srgbClr val="4f81bd"/>
              </a:solidFill>
              <a:round/>
            </a:ln>
          </c:spPr>
          <c:marker>
            <c:symbol val="none"/>
          </c:marker>
          <c:dLbls>
            <c:txPr>
              <a:bodyPr wrap="square"/>
              <a:lstStyle/>
              <a:p>
                <a:pPr>
                  <a:defRPr b="0" sz="1000" strike="noStrike" u="none">
                    <a:solidFill>
                      <a:srgbClr val="000000"/>
                    </a:solidFill>
                    <a:uFillTx/>
                    <a:latin typeface="Arial"/>
                    <a:ea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xVal>
            <c:numRef>
              <c:f>Dataset!$E$2:$E$201</c:f>
              <c:numCache>
                <c:formatCode>#,##0.00</c:formatCode>
                <c:ptCount val="200"/>
                <c:pt idx="0">
                  <c:v>1036.09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521.67</c:v>
                </c:pt>
                <c:pt idx="15">
                  <c:v>1502.93</c:v>
                </c:pt>
                <c:pt idx="16">
                  <c:v>877.58</c:v>
                </c:pt>
                <c:pt idx="17">
                  <c:v>636.7</c:v>
                </c:pt>
                <c:pt idx="18">
                  <c:v>1506.14</c:v>
                </c:pt>
                <c:pt idx="19">
                  <c:v>645.02</c:v>
                </c:pt>
                <c:pt idx="20">
                  <c:v>953.3</c:v>
                </c:pt>
                <c:pt idx="21">
                  <c:v>388.56</c:v>
                </c:pt>
                <c:pt idx="22">
                  <c:v>743.17</c:v>
                </c:pt>
                <c:pt idx="23">
                  <c:v>706.37</c:v>
                </c:pt>
                <c:pt idx="24">
                  <c:v>925.31</c:v>
                </c:pt>
                <c:pt idx="25">
                  <c:v>1173.12</c:v>
                </c:pt>
                <c:pt idx="26">
                  <c:v>675.54</c:v>
                </c:pt>
                <c:pt idx="27">
                  <c:v>939.09</c:v>
                </c:pt>
                <c:pt idx="28">
                  <c:v>983.34</c:v>
                </c:pt>
                <c:pt idx="29">
                  <c:v>801.21</c:v>
                </c:pt>
                <c:pt idx="30">
                  <c:v>1450.71</c:v>
                </c:pt>
                <c:pt idx="31">
                  <c:v>1023.21</c:v>
                </c:pt>
                <c:pt idx="32">
                  <c:v>853.72</c:v>
                </c:pt>
                <c:pt idx="33">
                  <c:v>967.89</c:v>
                </c:pt>
                <c:pt idx="34">
                  <c:v>1200.9</c:v>
                </c:pt>
                <c:pt idx="35">
                  <c:v>472.38</c:v>
                </c:pt>
                <c:pt idx="36">
                  <c:v>840.92</c:v>
                </c:pt>
                <c:pt idx="37">
                  <c:v>1410.06</c:v>
                </c:pt>
                <c:pt idx="38">
                  <c:v>773.09</c:v>
                </c:pt>
                <c:pt idx="39">
                  <c:v>580.43</c:v>
                </c:pt>
                <c:pt idx="40">
                  <c:v>1151.21</c:v>
                </c:pt>
                <c:pt idx="41">
                  <c:v>1025.98</c:v>
                </c:pt>
                <c:pt idx="42">
                  <c:v>556.42</c:v>
                </c:pt>
                <c:pt idx="43">
                  <c:v>840.85</c:v>
                </c:pt>
                <c:pt idx="44">
                  <c:v>1227.25</c:v>
                </c:pt>
                <c:pt idx="45">
                  <c:v>856.7</c:v>
                </c:pt>
                <c:pt idx="46">
                  <c:v>1225.42</c:v>
                </c:pt>
                <c:pt idx="47">
                  <c:v>1001.57</c:v>
                </c:pt>
                <c:pt idx="48">
                  <c:v>1186.85</c:v>
                </c:pt>
                <c:pt idx="49">
                  <c:v>775.45</c:v>
                </c:pt>
                <c:pt idx="50">
                  <c:v>1021.47</c:v>
                </c:pt>
                <c:pt idx="51">
                  <c:v>1226.62</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1100.1</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1261.34</c:v>
                </c:pt>
                <c:pt idx="77">
                  <c:v>518.07</c:v>
                </c:pt>
                <c:pt idx="78">
                  <c:v>1111.34</c:v>
                </c:pt>
                <c:pt idx="79">
                  <c:v>1291.47</c:v>
                </c:pt>
                <c:pt idx="80">
                  <c:v>679.71</c:v>
                </c:pt>
                <c:pt idx="81">
                  <c:v>1143.69</c:v>
                </c:pt>
                <c:pt idx="82">
                  <c:v>790.08</c:v>
                </c:pt>
                <c:pt idx="83">
                  <c:v>1070.68</c:v>
                </c:pt>
                <c:pt idx="84">
                  <c:v>1168.89</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c:v>
                </c:pt>
                <c:pt idx="107">
                  <c:v>1923.66</c:v>
                </c:pt>
                <c:pt idx="108">
                  <c:v>728.71</c:v>
                </c:pt>
                <c:pt idx="109">
                  <c:v>1301.89</c:v>
                </c:pt>
                <c:pt idx="110">
                  <c:v>980.18</c:v>
                </c:pt>
                <c:pt idx="111">
                  <c:v>697.57</c:v>
                </c:pt>
                <c:pt idx="112">
                  <c:v>1193.61</c:v>
                </c:pt>
                <c:pt idx="113">
                  <c:v>771.02</c:v>
                </c:pt>
                <c:pt idx="114">
                  <c:v>661.09</c:v>
                </c:pt>
                <c:pt idx="115">
                  <c:v>688.83</c:v>
                </c:pt>
                <c:pt idx="116">
                  <c:v>1249.1</c:v>
                </c:pt>
                <c:pt idx="117">
                  <c:v>1014.22</c:v>
                </c:pt>
                <c:pt idx="118">
                  <c:v>1010.58</c:v>
                </c:pt>
                <c:pt idx="119">
                  <c:v>957.29</c:v>
                </c:pt>
                <c:pt idx="120">
                  <c:v>1077.92</c:v>
                </c:pt>
                <c:pt idx="121">
                  <c:v>1163.01</c:v>
                </c:pt>
                <c:pt idx="122">
                  <c:v>1014.56</c:v>
                </c:pt>
                <c:pt idx="123">
                  <c:v>718.04</c:v>
                </c:pt>
                <c:pt idx="124">
                  <c:v>1277.85</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1118.34</c:v>
                </c:pt>
                <c:pt idx="160">
                  <c:v>1622.62</c:v>
                </c:pt>
                <c:pt idx="161">
                  <c:v>640.64</c:v>
                </c:pt>
                <c:pt idx="162">
                  <c:v>585.16</c:v>
                </c:pt>
                <c:pt idx="163">
                  <c:v>1109.98</c:v>
                </c:pt>
                <c:pt idx="164">
                  <c:v>1098.08</c:v>
                </c:pt>
                <c:pt idx="165">
                  <c:v>827.25</c:v>
                </c:pt>
                <c:pt idx="166">
                  <c:v>741.88</c:v>
                </c:pt>
                <c:pt idx="167">
                  <c:v>1311.26</c:v>
                </c:pt>
                <c:pt idx="168">
                  <c:v>573.32</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c:v>
                </c:pt>
                <c:pt idx="194">
                  <c:v>934.27</c:v>
                </c:pt>
                <c:pt idx="195">
                  <c:v>1465.35</c:v>
                </c:pt>
                <c:pt idx="196">
                  <c:v>740.8</c:v>
                </c:pt>
                <c:pt idx="197">
                  <c:v>545.44</c:v>
                </c:pt>
                <c:pt idx="198">
                  <c:v>997.61</c:v>
                </c:pt>
                <c:pt idx="199">
                  <c:v>928.32</c:v>
                </c:pt>
              </c:numCache>
            </c:numRef>
          </c:xVal>
          <c:yVal>
            <c:numRef>
              <c:f>Dataset!$I$2:$I$201</c:f>
              <c:numCache>
                <c:formatCode>#,##0.00</c:formatCode>
                <c:ptCount val="200"/>
                <c:pt idx="0">
                  <c:v>331.55</c:v>
                </c:pt>
                <c:pt idx="1">
                  <c:v>440.51</c:v>
                </c:pt>
                <c:pt idx="2">
                  <c:v>285.34</c:v>
                </c:pt>
                <c:pt idx="3">
                  <c:v>161.7</c:v>
                </c:pt>
                <c:pt idx="4">
                  <c:v>271.04</c:v>
                </c:pt>
                <c:pt idx="5">
                  <c:v>304.18</c:v>
                </c:pt>
                <c:pt idx="6">
                  <c:v>312.91</c:v>
                </c:pt>
                <c:pt idx="7">
                  <c:v>300.85</c:v>
                </c:pt>
                <c:pt idx="8">
                  <c:v>190.59</c:v>
                </c:pt>
                <c:pt idx="9">
                  <c:v>350.22</c:v>
                </c:pt>
                <c:pt idx="10">
                  <c:v>672.38</c:v>
                </c:pt>
                <c:pt idx="11">
                  <c:v>456.66</c:v>
                </c:pt>
                <c:pt idx="12">
                  <c:v>452.8</c:v>
                </c:pt>
                <c:pt idx="13">
                  <c:v>273.41</c:v>
                </c:pt>
                <c:pt idx="14">
                  <c:v>155.2</c:v>
                </c:pt>
                <c:pt idx="15">
                  <c:v>300.59</c:v>
                </c:pt>
                <c:pt idx="16">
                  <c:v>298.38</c:v>
                </c:pt>
                <c:pt idx="17">
                  <c:v>203.74</c:v>
                </c:pt>
                <c:pt idx="18">
                  <c:v>481.96</c:v>
                </c:pt>
                <c:pt idx="19">
                  <c:v>161.26</c:v>
                </c:pt>
                <c:pt idx="20">
                  <c:v>476.65</c:v>
                </c:pt>
                <c:pt idx="21">
                  <c:v>82.57</c:v>
                </c:pt>
                <c:pt idx="22">
                  <c:v>297.27</c:v>
                </c:pt>
                <c:pt idx="23">
                  <c:v>176.59</c:v>
                </c:pt>
                <c:pt idx="24">
                  <c:v>374.75</c:v>
                </c:pt>
                <c:pt idx="25">
                  <c:v>293.28</c:v>
                </c:pt>
                <c:pt idx="26">
                  <c:v>236.44</c:v>
                </c:pt>
                <c:pt idx="27">
                  <c:v>356.85</c:v>
                </c:pt>
                <c:pt idx="28">
                  <c:v>398.25</c:v>
                </c:pt>
                <c:pt idx="29">
                  <c:v>160.24</c:v>
                </c:pt>
                <c:pt idx="30">
                  <c:v>326.41</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302.71</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c:v>
                </c:pt>
                <c:pt idx="106">
                  <c:v>367.59</c:v>
                </c:pt>
                <c:pt idx="107">
                  <c:v>769.46</c:v>
                </c:pt>
                <c:pt idx="108">
                  <c:v>327.92</c:v>
                </c:pt>
                <c:pt idx="109">
                  <c:v>553.3</c:v>
                </c:pt>
                <c:pt idx="110">
                  <c:v>352.86</c:v>
                </c:pt>
                <c:pt idx="111">
                  <c:v>313.91</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c:v>
                </c:pt>
                <c:pt idx="150">
                  <c:v>301.75</c:v>
                </c:pt>
                <c:pt idx="151">
                  <c:v>413.36</c:v>
                </c:pt>
                <c:pt idx="152">
                  <c:v>286.68</c:v>
                </c:pt>
                <c:pt idx="153">
                  <c:v>556.31</c:v>
                </c:pt>
                <c:pt idx="154">
                  <c:v>332.19</c:v>
                </c:pt>
                <c:pt idx="155">
                  <c:v>336.24</c:v>
                </c:pt>
                <c:pt idx="156">
                  <c:v>180.39</c:v>
                </c:pt>
                <c:pt idx="157">
                  <c:v>484.35</c:v>
                </c:pt>
                <c:pt idx="158">
                  <c:v>562.82</c:v>
                </c:pt>
                <c:pt idx="159">
                  <c:v>447.34</c:v>
                </c:pt>
                <c:pt idx="160">
                  <c:v>649.05</c:v>
                </c:pt>
                <c:pt idx="161">
                  <c:v>205</c:v>
                </c:pt>
                <c:pt idx="162">
                  <c:v>263.32</c:v>
                </c:pt>
                <c:pt idx="163">
                  <c:v>443.99</c:v>
                </c:pt>
                <c:pt idx="164">
                  <c:v>395.31</c:v>
                </c:pt>
                <c:pt idx="165">
                  <c:v>335.04</c:v>
                </c:pt>
                <c:pt idx="166">
                  <c:v>333.85</c:v>
                </c:pt>
                <c:pt idx="167">
                  <c:v>531.06</c:v>
                </c:pt>
                <c:pt idx="168">
                  <c:v>232.19</c:v>
                </c:pt>
                <c:pt idx="169">
                  <c:v>223.04</c:v>
                </c:pt>
                <c:pt idx="170">
                  <c:v>422.92</c:v>
                </c:pt>
                <c:pt idx="171">
                  <c:v>257.45</c:v>
                </c:pt>
                <c:pt idx="172">
                  <c:v>380.75</c:v>
                </c:pt>
                <c:pt idx="173">
                  <c:v>225.37</c:v>
                </c:pt>
                <c:pt idx="174">
                  <c:v>582.56</c:v>
                </c:pt>
                <c:pt idx="175">
                  <c:v>344.91</c:v>
                </c:pt>
                <c:pt idx="176">
                  <c:v>330.79</c:v>
                </c:pt>
                <c:pt idx="177">
                  <c:v>460</c:v>
                </c:pt>
                <c:pt idx="178">
                  <c:v>439.88</c:v>
                </c:pt>
                <c:pt idx="179">
                  <c:v>255.79</c:v>
                </c:pt>
                <c:pt idx="180">
                  <c:v>159.74</c:v>
                </c:pt>
                <c:pt idx="181">
                  <c:v>404.39</c:v>
                </c:pt>
                <c:pt idx="182">
                  <c:v>187.57</c:v>
                </c:pt>
                <c:pt idx="183">
                  <c:v>410.87</c:v>
                </c:pt>
                <c:pt idx="184">
                  <c:v>275.78</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1"/>
        </c:ser>
        <c:axId val="11402650"/>
        <c:axId val="53101753"/>
      </c:scatterChart>
      <c:valAx>
        <c:axId val="11402650"/>
        <c:scaling>
          <c:orientation val="minMax"/>
        </c:scaling>
        <c:delete val="0"/>
        <c:axPos val="b"/>
        <c:majorGridlines>
          <c:spPr>
            <a:ln w="6480">
              <a:solidFill>
                <a:srgbClr val="8b8b8b"/>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ea typeface="Calibri"/>
                  </a:rPr>
                  <a:t>Sales</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53101753"/>
        <c:crosses val="autoZero"/>
        <c:crossBetween val="midCat"/>
      </c:valAx>
      <c:valAx>
        <c:axId val="53101753"/>
        <c:scaling>
          <c:orientation val="minMax"/>
        </c:scaling>
        <c:delete val="0"/>
        <c:axPos val="l"/>
        <c:majorGridlines>
          <c:spPr>
            <a:ln w="6480">
              <a:solidFill>
                <a:srgbClr val="8b8b8b"/>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Profit</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Calibri"/>
                <a:ea typeface="Calibri"/>
              </a:defRPr>
            </a:pPr>
          </a:p>
        </c:txPr>
        <c:crossAx val="11402650"/>
        <c:crosses val="autoZero"/>
        <c:crossBetween val="midCat"/>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Sales Distribution (Histogram)</a:t>
            </a:r>
          </a:p>
        </c:rich>
      </c:tx>
      <c:overlay val="0"/>
      <c:spPr>
        <a:noFill/>
        <a:ln w="0">
          <a:noFill/>
        </a:ln>
      </c:spPr>
    </c:title>
    <c:autoTitleDeleted val="0"/>
    <c:plotArea>
      <c:barChart>
        <c:barDir val="col"/>
        <c:grouping val="clustered"/>
        <c:varyColors val="0"/>
        <c:ser>
          <c:idx val="0"/>
          <c:order val="0"/>
          <c:tx>
            <c:strRef>
              <c:f>'Descriptive Stats'!B19</c:f>
              <c:strCache>
                <c:ptCount val="1"/>
                <c:pt idx="0">
                  <c:v/>
                </c:pt>
              </c:strCache>
            </c:strRef>
          </c:tx>
          <c:spPr>
            <a:solidFill>
              <a:srgbClr val="4f81bd"/>
            </a:solidFill>
            <a:ln w="0">
              <a:noFill/>
            </a:ln>
          </c:spPr>
          <c:invertIfNegative val="0"/>
          <c:dLbls>
            <c:txPr>
              <a:bodyPr wrap="square"/>
              <a:lstStyle/>
              <a:p>
                <a:pPr>
                  <a:defRPr b="0" sz="1000" strike="noStrike" u="none">
                    <a:solidFill>
                      <a:srgbClr val="000000"/>
                    </a:solidFill>
                    <a:uFillTx/>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'Descriptive Stats'!$A$20:$A$28</c:f>
              <c:strCache>
                <c:ptCount val="9"/>
                <c:pt idx="0">
                  <c:v>0–500</c:v>
                </c:pt>
                <c:pt idx="1">
                  <c:v>250–750</c:v>
                </c:pt>
                <c:pt idx="2">
                  <c:v>500–1000</c:v>
                </c:pt>
                <c:pt idx="3">
                  <c:v>750–1250</c:v>
                </c:pt>
                <c:pt idx="4">
                  <c:v>1000–1500</c:v>
                </c:pt>
                <c:pt idx="5">
                  <c:v>1250–1750</c:v>
                </c:pt>
                <c:pt idx="6">
                  <c:v>1500–2000</c:v>
                </c:pt>
                <c:pt idx="7">
                  <c:v>1750+</c:v>
                </c:pt>
                <c:pt idx="8">
                  <c:v>2000+</c:v>
                </c:pt>
              </c:strCache>
            </c:strRef>
          </c:cat>
          <c:val>
            <c:numRef>
              <c:f>'Descriptive Stats'!$B$20:$B$28</c:f>
              <c:numCache>
                <c:formatCode>General</c:formatCode>
                <c:ptCount val="9"/>
                <c:pt idx="0">
                  <c:v>11</c:v>
                </c:pt>
                <c:pt idx="1">
                  <c:v>48</c:v>
                </c:pt>
                <c:pt idx="2">
                  <c:v>95</c:v>
                </c:pt>
                <c:pt idx="3">
                  <c:v>118</c:v>
                </c:pt>
                <c:pt idx="4">
                  <c:v>85</c:v>
                </c:pt>
                <c:pt idx="5">
                  <c:v>33</c:v>
                </c:pt>
                <c:pt idx="6">
                  <c:v>9</c:v>
                </c:pt>
                <c:pt idx="7">
                  <c:v>1</c:v>
                </c:pt>
                <c:pt idx="8">
                  <c:v>0</c:v>
                </c:pt>
              </c:numCache>
            </c:numRef>
          </c:val>
        </c:ser>
        <c:gapWidth val="150"/>
        <c:overlap val="0"/>
        <c:axId val="61809998"/>
        <c:axId val="11749230"/>
      </c:barChart>
      <c:catAx>
        <c:axId val="6180999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ea typeface="Calibri"/>
                  </a:rPr>
                  <a:t>Sales Range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ea typeface="Calibri"/>
              </a:defRPr>
            </a:pPr>
          </a:p>
        </c:txPr>
        <c:crossAx val="11749230"/>
        <c:crosses val="autoZero"/>
        <c:auto val="1"/>
        <c:lblAlgn val="ctr"/>
        <c:lblOffset val="100"/>
        <c:noMultiLvlLbl val="0"/>
      </c:catAx>
      <c:valAx>
        <c:axId val="11749230"/>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Orders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trike="noStrike" u="none">
                <a:solidFill>
                  <a:srgbClr val="000000"/>
                </a:solidFill>
                <a:uFillTx/>
                <a:latin typeface="Calibri"/>
                <a:ea typeface="Calibri"/>
              </a:defRPr>
            </a:pPr>
          </a:p>
        </c:txPr>
        <c:crossAx val="61809998"/>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7</xdr:row>
      <xdr:rowOff>0</xdr:rowOff>
    </xdr:from>
    <xdr:to>
      <xdr:col>8</xdr:col>
      <xdr:colOff>427320</xdr:colOff>
      <xdr:row>20</xdr:row>
      <xdr:rowOff>42480</xdr:rowOff>
    </xdr:to>
    <xdr:graphicFrame>
      <xdr:nvGraphicFramePr>
        <xdr:cNvPr id="0" name="Chart 1"/>
        <xdr:cNvGraphicFramePr/>
      </xdr:nvGraphicFramePr>
      <xdr:xfrm>
        <a:off x="6555240" y="1495440"/>
        <a:ext cx="3598920" cy="251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0</xdr:rowOff>
    </xdr:from>
    <xdr:to>
      <xdr:col>8</xdr:col>
      <xdr:colOff>427320</xdr:colOff>
      <xdr:row>34</xdr:row>
      <xdr:rowOff>187560</xdr:rowOff>
    </xdr:to>
    <xdr:graphicFrame>
      <xdr:nvGraphicFramePr>
        <xdr:cNvPr id="1" name="Chart 2"/>
        <xdr:cNvGraphicFramePr/>
      </xdr:nvGraphicFramePr>
      <xdr:xfrm>
        <a:off x="6555240" y="4352760"/>
        <a:ext cx="3598920" cy="2511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0</xdr:rowOff>
    </xdr:from>
    <xdr:to>
      <xdr:col>2</xdr:col>
      <xdr:colOff>849960</xdr:colOff>
      <xdr:row>34</xdr:row>
      <xdr:rowOff>187560</xdr:rowOff>
    </xdr:to>
    <xdr:graphicFrame>
      <xdr:nvGraphicFramePr>
        <xdr:cNvPr id="2" name="Chart 3"/>
        <xdr:cNvGraphicFramePr/>
      </xdr:nvGraphicFramePr>
      <xdr:xfrm>
        <a:off x="0" y="4352760"/>
        <a:ext cx="4233240" cy="2511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36</xdr:row>
      <xdr:rowOff>145440</xdr:rowOff>
    </xdr:from>
    <xdr:to>
      <xdr:col>8</xdr:col>
      <xdr:colOff>427320</xdr:colOff>
      <xdr:row>46</xdr:row>
      <xdr:rowOff>92520</xdr:rowOff>
    </xdr:to>
    <xdr:graphicFrame>
      <xdr:nvGraphicFramePr>
        <xdr:cNvPr id="3" name="Chart 4"/>
        <xdr:cNvGraphicFramePr/>
      </xdr:nvGraphicFramePr>
      <xdr:xfrm>
        <a:off x="6555240" y="7203600"/>
        <a:ext cx="3598920" cy="2518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18</xdr:row>
      <xdr:rowOff>0</xdr:rowOff>
    </xdr:from>
    <xdr:to>
      <xdr:col>6</xdr:col>
      <xdr:colOff>1233360</xdr:colOff>
      <xdr:row>33</xdr:row>
      <xdr:rowOff>21960</xdr:rowOff>
    </xdr:to>
    <xdr:graphicFrame>
      <xdr:nvGraphicFramePr>
        <xdr:cNvPr id="4" name="Chart 1"/>
        <xdr:cNvGraphicFramePr/>
      </xdr:nvGraphicFramePr>
      <xdr:xfrm>
        <a:off x="4229280" y="3591000"/>
        <a:ext cx="503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atasetTable" displayName="DatasetTable" ref="A1:L201" headerRowCount="1" totalsRowCount="0" totalsRowShown="0">
  <autoFilter ref="A1:L201"/>
  <tableColumns count="12">
    <tableColumn id="1" name="Customer_ID"/>
    <tableColumn id="2" name="Customer_Name"/>
    <tableColumn id="3" name="Region"/>
    <tableColumn id="4" name="Product_Category"/>
    <tableColumn id="5" name="Sales"/>
    <tableColumn id="6" name="Quantity"/>
    <tableColumn id="7" name="Discount"/>
    <tableColumn id="8" name="Order_Date"/>
    <tableColumn id="9" name="Profit"/>
    <tableColumn id="10" name="Timestamp"/>
    <tableColumn id="11" name="Customer_Total_Purchase"/>
    <tableColumn id="12" name="Customer_Total_Profi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24"/>
    <col collapsed="false" customWidth="true" hidden="false" outlineLevel="0" max="12" min="3" style="1" width="15"/>
  </cols>
  <sheetData>
    <row r="1" customFormat="false" ht="27.75" hidden="false" customHeight="true" outlineLevel="0" collapsed="false">
      <c r="A1" s="2" t="s">
        <v>0</v>
      </c>
      <c r="B1" s="2"/>
      <c r="C1" s="2"/>
      <c r="D1" s="2"/>
      <c r="E1" s="2"/>
      <c r="F1" s="2"/>
      <c r="G1" s="2"/>
      <c r="H1" s="2"/>
      <c r="I1" s="2"/>
      <c r="J1" s="2"/>
      <c r="K1" s="2"/>
      <c r="L1" s="2"/>
    </row>
    <row r="2" customFormat="false" ht="15" hidden="false" customHeight="true" outlineLevel="0" collapsed="false">
      <c r="A2" s="3" t="s">
        <v>1</v>
      </c>
    </row>
    <row r="3" customFormat="false" ht="15" hidden="false" customHeight="false" outlineLevel="0" collapsed="false"/>
    <row r="4" customFormat="false" ht="15" hidden="false" customHeight="true" outlineLevel="0" collapsed="false">
      <c r="A4" s="4" t="s">
        <v>2</v>
      </c>
      <c r="B4" s="4"/>
      <c r="C4" s="4" t="s">
        <v>3</v>
      </c>
      <c r="D4" s="4"/>
      <c r="E4" s="4" t="s">
        <v>4</v>
      </c>
      <c r="F4" s="4"/>
      <c r="G4" s="4" t="s">
        <v>5</v>
      </c>
      <c r="H4" s="4"/>
      <c r="I4" s="4" t="s">
        <v>6</v>
      </c>
      <c r="J4" s="4"/>
      <c r="K4" s="4" t="s">
        <v>7</v>
      </c>
      <c r="L4" s="4"/>
    </row>
    <row r="5" customFormat="false" ht="15" hidden="false" customHeight="true" outlineLevel="0" collapsed="false">
      <c r="A5" s="5" t="n">
        <f aca="false">SUM(Dataset!E2:E201)</f>
        <v>195217.76</v>
      </c>
      <c r="B5" s="5"/>
      <c r="C5" s="5" t="n">
        <f aca="false">SUM(Dataset!I2:I201)</f>
        <v>68287.01</v>
      </c>
      <c r="D5" s="5"/>
      <c r="E5" s="5" t="n">
        <f aca="false">COUNTA(Dataset!A2:A201)</f>
        <v>200</v>
      </c>
      <c r="F5" s="5"/>
      <c r="G5" s="5" t="n">
        <f aca="false">AVERAGE(Dataset!E2:E201)</f>
        <v>976.0888</v>
      </c>
      <c r="H5" s="5"/>
      <c r="I5" s="6" t="n">
        <f aca="false">AVERAGE(Dataset!G2:G201)</f>
        <v>0.09725</v>
      </c>
      <c r="J5" s="6"/>
      <c r="K5" s="6" t="n">
        <f aca="false">SUM(Dataset!I2:I201)/SUM(Dataset!E2:E201)</f>
        <v>0.349799167862596</v>
      </c>
      <c r="L5" s="6"/>
    </row>
    <row r="6" customFormat="false" ht="15" hidden="false" customHeight="true" outlineLevel="0" collapsed="false">
      <c r="A6" s="5"/>
      <c r="B6" s="5"/>
      <c r="C6" s="5"/>
      <c r="D6" s="5"/>
      <c r="E6" s="5"/>
      <c r="F6" s="5"/>
      <c r="G6" s="5"/>
      <c r="H6" s="5"/>
      <c r="I6" s="6"/>
      <c r="J6" s="6"/>
      <c r="K6" s="6"/>
      <c r="L6" s="6"/>
    </row>
    <row r="7" customFormat="false" ht="15" hidden="false" customHeight="false" outlineLevel="0" collapsed="false"/>
    <row r="8" customFormat="false" ht="15" hidden="false" customHeight="true" outlineLevel="0" collapsed="false">
      <c r="A8" s="7" t="s">
        <v>8</v>
      </c>
      <c r="B8" s="7"/>
      <c r="C8" s="7"/>
      <c r="D8" s="7"/>
      <c r="E8" s="7"/>
      <c r="F8" s="7"/>
      <c r="I8" s="8" t="s">
        <v>9</v>
      </c>
      <c r="K8" s="4" t="s">
        <v>10</v>
      </c>
      <c r="L8" s="4" t="s">
        <v>11</v>
      </c>
    </row>
    <row r="9" customFormat="false" ht="15" hidden="false" customHeight="true" outlineLevel="0" collapsed="false">
      <c r="A9" s="4" t="s">
        <v>12</v>
      </c>
      <c r="B9" s="4" t="s">
        <v>13</v>
      </c>
      <c r="C9" s="4" t="s">
        <v>14</v>
      </c>
      <c r="D9" s="4" t="s">
        <v>15</v>
      </c>
      <c r="K9" s="4" t="s">
        <v>16</v>
      </c>
      <c r="L9" s="9" t="n">
        <f aca="false">SUMIF(Dataset!$D$2:$D$201,K9,Dataset!$E$2:$E$201)</f>
        <v>47002.46</v>
      </c>
    </row>
    <row r="10" customFormat="false" ht="15" hidden="false" customHeight="true" outlineLevel="0" collapsed="false">
      <c r="A10" s="10" t="n">
        <v>1</v>
      </c>
      <c r="B10" s="10" t="n">
        <f aca="false">'High Value Customers'!C39</f>
        <v>0</v>
      </c>
      <c r="C10" s="11" t="n">
        <f aca="false">'High Value Customers'!D39</f>
        <v>0</v>
      </c>
      <c r="D10" s="11" t="n">
        <f aca="false">'High Value Customers'!E39</f>
        <v>0</v>
      </c>
      <c r="E10" s="12"/>
      <c r="F10" s="12"/>
      <c r="G10" s="12"/>
      <c r="H10" s="12"/>
      <c r="I10" s="12"/>
      <c r="J10" s="12"/>
      <c r="K10" s="13" t="s">
        <v>17</v>
      </c>
      <c r="L10" s="14" t="n">
        <f aca="false">SUMIF(Dataset!$D$2:$D$201,K10,Dataset!$E$2:$E$201)</f>
        <v>41927.59</v>
      </c>
    </row>
    <row r="11" customFormat="false" ht="15" hidden="false" customHeight="true" outlineLevel="0" collapsed="false">
      <c r="A11" s="10" t="n">
        <v>2</v>
      </c>
      <c r="B11" s="10" t="str">
        <f aca="false">'High Value Customers'!C40</f>
        <v>Linda Taylor</v>
      </c>
      <c r="C11" s="11" t="n">
        <f aca="false">'High Value Customers'!D40</f>
        <v>10293.87</v>
      </c>
      <c r="D11" s="11" t="n">
        <f aca="false">'High Value Customers'!E40</f>
        <v>3541.02</v>
      </c>
      <c r="E11" s="12"/>
      <c r="F11" s="12"/>
      <c r="G11" s="12"/>
      <c r="H11" s="12"/>
      <c r="I11" s="12"/>
      <c r="J11" s="12"/>
      <c r="K11" s="13" t="s">
        <v>18</v>
      </c>
      <c r="L11" s="14" t="n">
        <f aca="false">SUMIF(Dataset!$D$2:$D$201,K11,Dataset!$E$2:$E$201)</f>
        <v>41044</v>
      </c>
    </row>
    <row r="12" customFormat="false" ht="15" hidden="false" customHeight="true" outlineLevel="0" collapsed="false">
      <c r="A12" s="10" t="n">
        <v>3</v>
      </c>
      <c r="B12" s="10" t="str">
        <f aca="false">'High Value Customers'!C41</f>
        <v>Michael Anderson</v>
      </c>
      <c r="C12" s="11" t="n">
        <f aca="false">'High Value Customers'!D41</f>
        <v>9941.88</v>
      </c>
      <c r="D12" s="11" t="n">
        <f aca="false">'High Value Customers'!E41</f>
        <v>3936.26</v>
      </c>
      <c r="E12" s="12"/>
      <c r="F12" s="12"/>
      <c r="G12" s="12"/>
      <c r="H12" s="12"/>
      <c r="I12" s="12"/>
      <c r="J12" s="12"/>
      <c r="K12" s="13" t="s">
        <v>19</v>
      </c>
      <c r="L12" s="14" t="n">
        <f aca="false">SUMIF(Dataset!$D$2:$D$201,K12,Dataset!$E$2:$E$201)</f>
        <v>36612.89</v>
      </c>
    </row>
    <row r="13" customFormat="false" ht="15" hidden="false" customHeight="true" outlineLevel="0" collapsed="false">
      <c r="A13" s="10" t="n">
        <v>4</v>
      </c>
      <c r="B13" s="10" t="str">
        <f aca="false">'High Value Customers'!C42</f>
        <v>Robert Anderson</v>
      </c>
      <c r="C13" s="11" t="n">
        <f aca="false">'High Value Customers'!D42</f>
        <v>9760.8</v>
      </c>
      <c r="D13" s="11" t="n">
        <f aca="false">'High Value Customers'!E42</f>
        <v>3442.48</v>
      </c>
      <c r="E13" s="12"/>
      <c r="F13" s="12"/>
      <c r="G13" s="12"/>
      <c r="H13" s="12"/>
      <c r="I13" s="12"/>
      <c r="J13" s="12"/>
      <c r="K13" s="13" t="s">
        <v>20</v>
      </c>
      <c r="L13" s="14" t="n">
        <f aca="false">SUMIF(Dataset!$D$2:$D$201,K13,Dataset!$E$2:$E$201)</f>
        <v>28630.82</v>
      </c>
    </row>
    <row r="14" customFormat="false" ht="15" hidden="false" customHeight="true" outlineLevel="0" collapsed="false">
      <c r="A14" s="10" t="n">
        <v>5</v>
      </c>
      <c r="B14" s="10" t="str">
        <f aca="false">'High Value Customers'!C43</f>
        <v>Mary Davis</v>
      </c>
      <c r="C14" s="11" t="n">
        <f aca="false">'High Value Customers'!D43</f>
        <v>9371.81</v>
      </c>
      <c r="D14" s="11" t="n">
        <f aca="false">'High Value Customers'!E43</f>
        <v>2922.02</v>
      </c>
      <c r="E14" s="12"/>
      <c r="F14" s="12"/>
      <c r="G14" s="12"/>
      <c r="H14" s="12"/>
      <c r="I14" s="12"/>
      <c r="J14" s="12"/>
      <c r="K14" s="12"/>
      <c r="L14" s="12"/>
    </row>
    <row r="15" customFormat="false" ht="15" hidden="false" customHeight="true" outlineLevel="0" collapsed="false">
      <c r="A15" s="10" t="n">
        <v>6</v>
      </c>
      <c r="B15" s="10" t="str">
        <f aca="false">'High Value Customers'!C44</f>
        <v>Sarah Anderson</v>
      </c>
      <c r="C15" s="11" t="n">
        <f aca="false">'High Value Customers'!D44</f>
        <v>8740.18</v>
      </c>
      <c r="D15" s="11" t="n">
        <f aca="false">'High Value Customers'!E44</f>
        <v>2848.62</v>
      </c>
      <c r="E15" s="12"/>
      <c r="F15" s="12"/>
      <c r="G15" s="12"/>
      <c r="H15" s="12"/>
      <c r="I15" s="12"/>
      <c r="J15" s="12"/>
      <c r="K15" s="12"/>
      <c r="L15" s="12"/>
    </row>
    <row r="16" customFormat="false" ht="15" hidden="false" customHeight="true" outlineLevel="0" collapsed="false">
      <c r="A16" s="10" t="n">
        <v>7</v>
      </c>
      <c r="B16" s="10" t="str">
        <f aca="false">'High Value Customers'!C45</f>
        <v>Emma Davis</v>
      </c>
      <c r="C16" s="11" t="n">
        <f aca="false">'High Value Customers'!D45</f>
        <v>8490.18</v>
      </c>
      <c r="D16" s="11" t="n">
        <f aca="false">'High Value Customers'!E45</f>
        <v>2652.75</v>
      </c>
      <c r="E16" s="12"/>
      <c r="F16" s="12"/>
      <c r="G16" s="12"/>
      <c r="H16" s="12"/>
      <c r="I16" s="12"/>
      <c r="J16" s="12"/>
      <c r="K16" s="12"/>
      <c r="L16" s="12"/>
    </row>
    <row r="17" customFormat="false" ht="15" hidden="false" customHeight="true" outlineLevel="0" collapsed="false">
      <c r="A17" s="10" t="n">
        <v>8</v>
      </c>
      <c r="B17" s="10" t="str">
        <f aca="false">'High Value Customers'!C46</f>
        <v>Robert Anderson</v>
      </c>
      <c r="C17" s="11" t="n">
        <f aca="false">'High Value Customers'!D46</f>
        <v>8339</v>
      </c>
      <c r="D17" s="11" t="n">
        <f aca="false">'High Value Customers'!E46</f>
        <v>2988.71</v>
      </c>
      <c r="E17" s="12"/>
      <c r="F17" s="12"/>
      <c r="G17" s="12"/>
      <c r="H17" s="12"/>
      <c r="I17" s="12"/>
      <c r="J17" s="12"/>
      <c r="K17" s="12"/>
      <c r="L17" s="12"/>
    </row>
    <row r="18" customFormat="false" ht="15" hidden="false" customHeight="true" outlineLevel="0" collapsed="false">
      <c r="A18" s="10" t="n">
        <v>9</v>
      </c>
      <c r="B18" s="10" t="str">
        <f aca="false">'High Value Customers'!C47</f>
        <v>James Wilson</v>
      </c>
      <c r="C18" s="11" t="n">
        <f aca="false">'High Value Customers'!D47</f>
        <v>7928.71</v>
      </c>
      <c r="D18" s="11" t="n">
        <f aca="false">'High Value Customers'!E47</f>
        <v>2965.48</v>
      </c>
      <c r="E18" s="12"/>
      <c r="F18" s="12"/>
      <c r="G18" s="12"/>
      <c r="H18" s="12"/>
      <c r="I18" s="12"/>
      <c r="J18" s="12"/>
      <c r="K18" s="12"/>
      <c r="L18" s="12"/>
    </row>
    <row r="19" customFormat="false" ht="15" hidden="false" customHeight="true" outlineLevel="0" collapsed="false">
      <c r="A19" s="10" t="n">
        <v>10</v>
      </c>
      <c r="B19" s="10" t="str">
        <f aca="false">'High Value Customers'!C48</f>
        <v>Lisa Thomas</v>
      </c>
      <c r="C19" s="11" t="n">
        <f aca="false">'High Value Customers'!D48</f>
        <v>7813.59</v>
      </c>
      <c r="D19" s="11" t="n">
        <f aca="false">'High Value Customers'!E48</f>
        <v>3211.82</v>
      </c>
      <c r="E19" s="12"/>
      <c r="F19" s="12"/>
      <c r="G19" s="12"/>
      <c r="H19" s="12"/>
      <c r="I19" s="12"/>
      <c r="J19" s="12"/>
      <c r="K19" s="12"/>
      <c r="L19" s="12"/>
    </row>
    <row r="20" customFormat="false" ht="15" hidden="false" customHeight="false" outlineLevel="0" collapsed="false"/>
    <row r="21" customFormat="false" ht="15" hidden="false" customHeight="false" outlineLevel="0" collapsed="false"/>
    <row r="22" customFormat="false" ht="15" hidden="false" customHeight="false" outlineLevel="0" collapsed="false"/>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8" hidden="false" customHeight="true" outlineLevel="0" collapsed="false">
      <c r="A29" s="13" t="s">
        <v>21</v>
      </c>
      <c r="B29" s="12"/>
      <c r="C29" s="12"/>
      <c r="D29" s="12"/>
      <c r="E29" s="12"/>
      <c r="F29" s="12"/>
      <c r="G29" s="12"/>
      <c r="H29" s="12"/>
      <c r="I29" s="12"/>
      <c r="J29" s="13" t="s">
        <v>22</v>
      </c>
      <c r="K29" s="12"/>
      <c r="L29" s="12"/>
    </row>
    <row r="30" customFormat="false" ht="15" hidden="false" customHeight="true" outlineLevel="0" collapsed="false">
      <c r="A30" s="7" t="s">
        <v>23</v>
      </c>
      <c r="B30" s="7"/>
      <c r="C30" s="7"/>
      <c r="D30" s="7"/>
      <c r="E30" s="7"/>
      <c r="F30" s="7"/>
      <c r="G30" s="7"/>
      <c r="H30" s="7"/>
      <c r="J30" s="15" t="s">
        <v>24</v>
      </c>
      <c r="K30" s="15"/>
      <c r="L30" s="15"/>
    </row>
    <row r="31" customFormat="false" ht="15" hidden="false" customHeight="true" outlineLevel="0" collapsed="false">
      <c r="A31" s="16" t="s">
        <v>25</v>
      </c>
      <c r="B31" s="16"/>
      <c r="C31" s="16"/>
      <c r="D31" s="16"/>
      <c r="E31" s="16"/>
      <c r="F31" s="16"/>
      <c r="G31" s="16"/>
      <c r="H31" s="16"/>
      <c r="J31" s="15"/>
      <c r="K31" s="15"/>
      <c r="L31" s="15"/>
    </row>
    <row r="32" customFormat="false" ht="15" hidden="false" customHeight="true" outlineLevel="0" collapsed="false">
      <c r="A32" s="16" t="s">
        <v>26</v>
      </c>
      <c r="B32" s="16"/>
      <c r="C32" s="16"/>
      <c r="D32" s="16"/>
      <c r="E32" s="16"/>
      <c r="F32" s="16"/>
      <c r="G32" s="16"/>
      <c r="H32" s="16"/>
      <c r="J32" s="15"/>
      <c r="K32" s="15"/>
      <c r="L32" s="15"/>
    </row>
    <row r="33" customFormat="false" ht="15" hidden="false" customHeight="true" outlineLevel="0" collapsed="false">
      <c r="A33" s="16" t="s">
        <v>27</v>
      </c>
      <c r="B33" s="16"/>
      <c r="C33" s="16"/>
      <c r="D33" s="16"/>
      <c r="E33" s="16"/>
      <c r="F33" s="16"/>
      <c r="G33" s="16"/>
      <c r="H33" s="16"/>
    </row>
    <row r="34" customFormat="false" ht="15" hidden="false" customHeight="true" outlineLevel="0" collapsed="false">
      <c r="A34" s="16" t="s">
        <v>28</v>
      </c>
      <c r="B34" s="16"/>
      <c r="C34" s="16"/>
      <c r="D34" s="16"/>
      <c r="E34" s="16"/>
      <c r="F34" s="16"/>
      <c r="G34" s="16"/>
      <c r="H34" s="16"/>
    </row>
    <row r="35" customFormat="false" ht="15" hidden="false" customHeight="false" outlineLevel="0" collapsed="false">
      <c r="A35" s="8" t="s">
        <v>23</v>
      </c>
    </row>
    <row r="36" customFormat="false" ht="15" hidden="false" customHeight="false" outlineLevel="0" collapsed="false">
      <c r="A36" s="1" t="s">
        <v>29</v>
      </c>
    </row>
    <row r="37" customFormat="false" ht="15" hidden="false" customHeight="false" outlineLevel="0" collapsed="false">
      <c r="A37" s="1" t="s">
        <v>30</v>
      </c>
    </row>
    <row r="38" customFormat="false" ht="15" hidden="false" customHeight="true" outlineLevel="0" collapsed="false">
      <c r="A38" s="17" t="s">
        <v>31</v>
      </c>
      <c r="B38" s="18"/>
      <c r="C38" s="18"/>
      <c r="D38" s="18"/>
      <c r="E38" s="18"/>
      <c r="F38" s="18"/>
      <c r="G38" s="18"/>
      <c r="H38" s="18"/>
      <c r="I38" s="18"/>
      <c r="J38" s="18"/>
      <c r="K38" s="18"/>
      <c r="L38" s="18"/>
    </row>
    <row r="39" customFormat="false" ht="25.5" hidden="false" customHeight="true" outlineLevel="0" collapsed="false">
      <c r="A39" s="3" t="s">
        <v>32</v>
      </c>
    </row>
    <row r="40" customFormat="false" ht="25.5" hidden="false" customHeight="true" outlineLevel="0" collapsed="false">
      <c r="A40" s="3" t="s">
        <v>33</v>
      </c>
    </row>
    <row r="41" customFormat="false" ht="25.5" hidden="false" customHeight="true" outlineLevel="0" collapsed="false">
      <c r="A41" s="3"/>
    </row>
    <row r="42" customFormat="false" ht="25.5" hidden="false" customHeight="true" outlineLevel="0" collapsed="false">
      <c r="A42" s="3"/>
    </row>
    <row r="43" customFormat="false" ht="25.5" hidden="false" customHeight="true" outlineLevel="0" collapsed="false">
      <c r="A43" s="3"/>
    </row>
  </sheetData>
  <mergeCells count="20">
    <mergeCell ref="A1:L1"/>
    <mergeCell ref="A4:B4"/>
    <mergeCell ref="C4:D4"/>
    <mergeCell ref="E4:F4"/>
    <mergeCell ref="G4:H4"/>
    <mergeCell ref="I4:J4"/>
    <mergeCell ref="K4:L4"/>
    <mergeCell ref="A5:B6"/>
    <mergeCell ref="C5:D6"/>
    <mergeCell ref="E5:F6"/>
    <mergeCell ref="G5:H6"/>
    <mergeCell ref="I5:J6"/>
    <mergeCell ref="K5:L6"/>
    <mergeCell ref="A8:F8"/>
    <mergeCell ref="A30:H30"/>
    <mergeCell ref="J30:L32"/>
    <mergeCell ref="A31:H31"/>
    <mergeCell ref="A32:H32"/>
    <mergeCell ref="A33:H33"/>
    <mergeCell ref="A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120"/>
    <col collapsed="false" customWidth="true" hidden="false" outlineLevel="0" max="26" min="2" style="1" width="8.71"/>
  </cols>
  <sheetData>
    <row r="1" customFormat="false" ht="27.75" hidden="false" customHeight="true" outlineLevel="0" collapsed="false">
      <c r="A1" s="19" t="s">
        <v>34</v>
      </c>
    </row>
    <row r="2" customFormat="false" ht="420" hidden="false" customHeight="true" outlineLevel="0" collapsed="false">
      <c r="A2" s="20" t="s">
        <v>35</v>
      </c>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4.43359375" defaultRowHeight="15" customHeight="true" zeroHeight="false" outlineLevelRow="0" outlineLevelCol="0"/>
  <cols>
    <col collapsed="false" customWidth="true" hidden="false" outlineLevel="0" max="1" min="1" style="1" width="13"/>
    <col collapsed="false" customWidth="true" hidden="false" outlineLevel="0" max="2" min="2" style="1" width="22"/>
    <col collapsed="false" customWidth="true" hidden="false" outlineLevel="0" max="3" min="3" style="1" width="12"/>
    <col collapsed="false" customWidth="true" hidden="false" outlineLevel="0" max="4" min="4" style="1" width="20"/>
    <col collapsed="false" customWidth="true" hidden="false" outlineLevel="0" max="5" min="5" style="1" width="13"/>
    <col collapsed="false" customWidth="true" hidden="false" outlineLevel="0" max="7" min="6" style="1" width="11"/>
    <col collapsed="false" customWidth="true" hidden="false" outlineLevel="0" max="8" min="8" style="1" width="14"/>
    <col collapsed="false" customWidth="true" hidden="false" outlineLevel="0" max="9" min="9" style="1" width="13"/>
    <col collapsed="false" customWidth="true" hidden="false" outlineLevel="0" max="26" min="10" style="1" width="22"/>
  </cols>
  <sheetData>
    <row r="1" customFormat="false" ht="27.75" hidden="false" customHeight="true" outlineLevel="0" collapsed="false">
      <c r="A1" s="4" t="s">
        <v>36</v>
      </c>
      <c r="B1" s="4" t="s">
        <v>37</v>
      </c>
      <c r="C1" s="4" t="s">
        <v>38</v>
      </c>
      <c r="D1" s="4" t="s">
        <v>39</v>
      </c>
      <c r="E1" s="4" t="s">
        <v>11</v>
      </c>
      <c r="F1" s="4" t="s">
        <v>40</v>
      </c>
      <c r="G1" s="4" t="s">
        <v>41</v>
      </c>
      <c r="H1" s="4" t="s">
        <v>42</v>
      </c>
      <c r="I1" s="4" t="s">
        <v>15</v>
      </c>
      <c r="J1" s="4" t="s">
        <v>43</v>
      </c>
      <c r="K1" s="4" t="s">
        <v>44</v>
      </c>
      <c r="L1" s="4" t="s">
        <v>45</v>
      </c>
      <c r="M1" s="21"/>
      <c r="N1" s="21"/>
      <c r="O1" s="21"/>
      <c r="P1" s="21"/>
      <c r="Q1" s="21"/>
      <c r="R1" s="21"/>
      <c r="S1" s="21"/>
      <c r="T1" s="21"/>
      <c r="U1" s="21"/>
      <c r="V1" s="21"/>
      <c r="W1" s="21"/>
      <c r="X1" s="21"/>
      <c r="Y1" s="21"/>
      <c r="Z1" s="21"/>
    </row>
    <row r="2" customFormat="false" ht="15" hidden="false" customHeight="true" outlineLevel="0" collapsed="false">
      <c r="A2" s="3" t="s">
        <v>46</v>
      </c>
      <c r="B2" s="3" t="s">
        <v>47</v>
      </c>
      <c r="C2" s="3" t="s">
        <v>48</v>
      </c>
      <c r="D2" s="3" t="s">
        <v>16</v>
      </c>
      <c r="E2" s="22" t="n">
        <v>1036.09</v>
      </c>
      <c r="F2" s="3" t="n">
        <v>4</v>
      </c>
      <c r="G2" s="23" t="n">
        <v>0.2</v>
      </c>
      <c r="H2" s="24" t="n">
        <v>45392</v>
      </c>
      <c r="I2" s="22" t="n">
        <v>331.55</v>
      </c>
      <c r="J2" s="25" t="n">
        <f aca="true">NOW()</f>
        <v>46303.432974321</v>
      </c>
      <c r="K2" s="26" t="n">
        <f aca="false">SUMIF($A$2:$A$201,A2,$E$2:$E$201)</f>
        <v>4640.11</v>
      </c>
      <c r="L2" s="26" t="n">
        <f aca="false">SUMIF($A$2:$A$201,A2,$I$2:$I$201)</f>
        <v>1721.12</v>
      </c>
    </row>
    <row r="3" customFormat="false" ht="15" hidden="false" customHeight="true" outlineLevel="0" collapsed="false">
      <c r="A3" s="3" t="s">
        <v>49</v>
      </c>
      <c r="B3" s="3" t="s">
        <v>50</v>
      </c>
      <c r="C3" s="3" t="s">
        <v>48</v>
      </c>
      <c r="D3" s="3" t="s">
        <v>17</v>
      </c>
      <c r="E3" s="22" t="n">
        <v>1101.28</v>
      </c>
      <c r="F3" s="3" t="n">
        <v>3</v>
      </c>
      <c r="G3" s="23" t="n">
        <v>0.2</v>
      </c>
      <c r="H3" s="24" t="n">
        <v>45393</v>
      </c>
      <c r="I3" s="22" t="n">
        <v>440.51</v>
      </c>
      <c r="J3" s="25" t="n">
        <f aca="true">NOW()</f>
        <v>46303.4329743213</v>
      </c>
      <c r="K3" s="26" t="n">
        <f aca="false">SUMIF($A$2:$A$201,A3,$E$2:$E$201)</f>
        <v>8339</v>
      </c>
      <c r="L3" s="26" t="n">
        <f aca="false">SUMIF($A$2:$A$201,A3,$I$2:$I$201)</f>
        <v>2988.71</v>
      </c>
    </row>
    <row r="4" customFormat="false" ht="15" hidden="false" customHeight="true" outlineLevel="0" collapsed="false">
      <c r="A4" s="3" t="s">
        <v>51</v>
      </c>
      <c r="B4" s="3" t="s">
        <v>52</v>
      </c>
      <c r="C4" s="3" t="s">
        <v>53</v>
      </c>
      <c r="D4" s="3" t="s">
        <v>16</v>
      </c>
      <c r="E4" s="22" t="n">
        <v>713.34</v>
      </c>
      <c r="F4" s="3" t="n">
        <v>17</v>
      </c>
      <c r="G4" s="23" t="n">
        <v>0</v>
      </c>
      <c r="H4" s="24" t="n">
        <v>45396</v>
      </c>
      <c r="I4" s="22" t="n">
        <v>285.34</v>
      </c>
      <c r="J4" s="25" t="n">
        <f aca="true">NOW()</f>
        <v>46303.4329743213</v>
      </c>
      <c r="K4" s="26" t="n">
        <f aca="false">SUMIF($A$2:$A$201,A4,$E$2:$E$201)</f>
        <v>3419.2</v>
      </c>
      <c r="L4" s="26" t="n">
        <f aca="false">SUMIF($A$2:$A$201,A4,$I$2:$I$201)</f>
        <v>1257.21</v>
      </c>
    </row>
    <row r="5" customFormat="false" ht="15" hidden="false" customHeight="true" outlineLevel="0" collapsed="false">
      <c r="A5" s="3" t="s">
        <v>54</v>
      </c>
      <c r="B5" s="3" t="s">
        <v>50</v>
      </c>
      <c r="C5" s="3" t="s">
        <v>55</v>
      </c>
      <c r="D5" s="3" t="s">
        <v>18</v>
      </c>
      <c r="E5" s="22" t="n">
        <v>760.93</v>
      </c>
      <c r="F5" s="3" t="n">
        <v>4</v>
      </c>
      <c r="G5" s="23" t="n">
        <v>0.15</v>
      </c>
      <c r="H5" s="24" t="n">
        <v>45396</v>
      </c>
      <c r="I5" s="22" t="n">
        <v>161.7</v>
      </c>
      <c r="J5" s="25" t="n">
        <f aca="true">NOW()</f>
        <v>46303.4329743211</v>
      </c>
      <c r="K5" s="26" t="n">
        <f aca="false">SUMIF($A$2:$A$201,A5,$E$2:$E$201)</f>
        <v>6666.13</v>
      </c>
      <c r="L5" s="26" t="n">
        <f aca="false">SUMIF($A$2:$A$201,A5,$I$2:$I$201)</f>
        <v>1982.39</v>
      </c>
    </row>
    <row r="6" customFormat="false" ht="15" hidden="false" customHeight="true" outlineLevel="0" collapsed="false">
      <c r="A6" s="3" t="s">
        <v>56</v>
      </c>
      <c r="B6" s="3" t="s">
        <v>57</v>
      </c>
      <c r="C6" s="3" t="s">
        <v>58</v>
      </c>
      <c r="D6" s="3" t="s">
        <v>16</v>
      </c>
      <c r="E6" s="22" t="n">
        <v>847</v>
      </c>
      <c r="F6" s="3" t="n">
        <v>12</v>
      </c>
      <c r="G6" s="23" t="n">
        <v>0.2</v>
      </c>
      <c r="H6" s="24" t="n">
        <v>45397</v>
      </c>
      <c r="I6" s="22" t="n">
        <v>271.04</v>
      </c>
      <c r="J6" s="25" t="n">
        <f aca="true">NOW()</f>
        <v>46303.4329743216</v>
      </c>
      <c r="K6" s="26" t="n">
        <f aca="false">SUMIF($A$2:$A$201,A6,$E$2:$E$201)</f>
        <v>7928.71</v>
      </c>
      <c r="L6" s="26" t="n">
        <f aca="false">SUMIF($A$2:$A$201,A6,$I$2:$I$201)</f>
        <v>2965.48</v>
      </c>
    </row>
    <row r="7" customFormat="false" ht="15" hidden="false" customHeight="true" outlineLevel="0" collapsed="false">
      <c r="A7" s="3" t="s">
        <v>59</v>
      </c>
      <c r="B7" s="3" t="s">
        <v>60</v>
      </c>
      <c r="C7" s="3" t="s">
        <v>58</v>
      </c>
      <c r="D7" s="3" t="s">
        <v>19</v>
      </c>
      <c r="E7" s="22" t="n">
        <v>965.64</v>
      </c>
      <c r="F7" s="3" t="n">
        <v>8</v>
      </c>
      <c r="G7" s="23" t="n">
        <v>0.1</v>
      </c>
      <c r="H7" s="24" t="n">
        <v>45398</v>
      </c>
      <c r="I7" s="22" t="n">
        <v>304.18</v>
      </c>
      <c r="J7" s="25" t="n">
        <f aca="true">NOW()</f>
        <v>46303.4329743219</v>
      </c>
      <c r="K7" s="26" t="n">
        <f aca="false">SUMIF($A$2:$A$201,A7,$E$2:$E$201)</f>
        <v>9941.88</v>
      </c>
      <c r="L7" s="26" t="n">
        <f aca="false">SUMIF($A$2:$A$201,A7,$I$2:$I$201)</f>
        <v>3936.26</v>
      </c>
    </row>
    <row r="8" customFormat="false" ht="15" hidden="false" customHeight="true" outlineLevel="0" collapsed="false">
      <c r="A8" s="3" t="s">
        <v>61</v>
      </c>
      <c r="B8" s="3" t="s">
        <v>62</v>
      </c>
      <c r="C8" s="3" t="s">
        <v>48</v>
      </c>
      <c r="D8" s="3" t="s">
        <v>18</v>
      </c>
      <c r="E8" s="22" t="n">
        <v>1317.53</v>
      </c>
      <c r="F8" s="3" t="n">
        <v>12</v>
      </c>
      <c r="G8" s="23" t="n">
        <v>0.05</v>
      </c>
      <c r="H8" s="24" t="n">
        <v>45398</v>
      </c>
      <c r="I8" s="22" t="n">
        <v>312.91</v>
      </c>
      <c r="J8" s="25" t="n">
        <f aca="true">NOW()</f>
        <v>46303.4329743212</v>
      </c>
      <c r="K8" s="26" t="n">
        <f aca="false">SUMIF($A$2:$A$201,A8,$E$2:$E$201)</f>
        <v>6549.55</v>
      </c>
      <c r="L8" s="26" t="n">
        <f aca="false">SUMIF($A$2:$A$201,A8,$I$2:$I$201)</f>
        <v>1868.77</v>
      </c>
    </row>
    <row r="9" customFormat="false" ht="15" hidden="false" customHeight="true" outlineLevel="0" collapsed="false">
      <c r="A9" s="3" t="s">
        <v>63</v>
      </c>
      <c r="B9" s="3" t="s">
        <v>64</v>
      </c>
      <c r="C9" s="3" t="s">
        <v>53</v>
      </c>
      <c r="D9" s="3" t="s">
        <v>19</v>
      </c>
      <c r="E9" s="22" t="n">
        <v>1074.47</v>
      </c>
      <c r="F9" s="3" t="n">
        <v>6</v>
      </c>
      <c r="G9" s="23" t="n">
        <v>0.2</v>
      </c>
      <c r="H9" s="24" t="n">
        <v>45401</v>
      </c>
      <c r="I9" s="22" t="n">
        <v>300.85</v>
      </c>
      <c r="J9" s="25" t="n">
        <f aca="true">NOW()</f>
        <v>46303.4329743216</v>
      </c>
      <c r="K9" s="26" t="n">
        <f aca="false">SUMIF($A$2:$A$201,A9,$E$2:$E$201)</f>
        <v>9371.81</v>
      </c>
      <c r="L9" s="26" t="n">
        <f aca="false">SUMIF($A$2:$A$201,A9,$I$2:$I$201)</f>
        <v>2922.02</v>
      </c>
    </row>
    <row r="10" customFormat="false" ht="15" hidden="false" customHeight="true" outlineLevel="0" collapsed="false">
      <c r="A10" s="3" t="s">
        <v>65</v>
      </c>
      <c r="B10" s="3" t="s">
        <v>66</v>
      </c>
      <c r="C10" s="3" t="s">
        <v>67</v>
      </c>
      <c r="D10" s="3" t="s">
        <v>16</v>
      </c>
      <c r="E10" s="22" t="n">
        <v>501.54</v>
      </c>
      <c r="F10" s="3" t="n">
        <v>11</v>
      </c>
      <c r="G10" s="23" t="n">
        <v>0.05</v>
      </c>
      <c r="H10" s="24" t="n">
        <v>45401</v>
      </c>
      <c r="I10" s="22" t="n">
        <v>190.59</v>
      </c>
      <c r="J10" s="25" t="n">
        <f aca="true">NOW()</f>
        <v>46303.4329743219</v>
      </c>
      <c r="K10" s="26" t="n">
        <f aca="false">SUMIF($A$2:$A$201,A10,$E$2:$E$201)</f>
        <v>6505.2</v>
      </c>
      <c r="L10" s="26" t="n">
        <f aca="false">SUMIF($A$2:$A$201,A10,$I$2:$I$201)</f>
        <v>2052.54</v>
      </c>
    </row>
    <row r="11" customFormat="false" ht="15" hidden="false" customHeight="true" outlineLevel="0" collapsed="false">
      <c r="A11" s="3" t="s">
        <v>68</v>
      </c>
      <c r="B11" s="3" t="s">
        <v>69</v>
      </c>
      <c r="C11" s="3" t="s">
        <v>67</v>
      </c>
      <c r="D11" s="3" t="s">
        <v>17</v>
      </c>
      <c r="E11" s="22" t="n">
        <v>737.31</v>
      </c>
      <c r="F11" s="3" t="n">
        <v>2</v>
      </c>
      <c r="G11" s="23" t="n">
        <v>0.05</v>
      </c>
      <c r="H11" s="24" t="n">
        <v>45401</v>
      </c>
      <c r="I11" s="22" t="n">
        <v>350.22</v>
      </c>
      <c r="J11" s="25" t="n">
        <f aca="true">NOW()</f>
        <v>46303.4329743212</v>
      </c>
      <c r="K11" s="26" t="n">
        <f aca="false">SUMIF($A$2:$A$201,A11,$E$2:$E$201)</f>
        <v>4259.22</v>
      </c>
      <c r="L11" s="26" t="n">
        <f aca="false">SUMIF($A$2:$A$201,A11,$I$2:$I$201)</f>
        <v>1529.32</v>
      </c>
    </row>
    <row r="12" customFormat="false" ht="15" hidden="false" customHeight="true" outlineLevel="0" collapsed="false">
      <c r="A12" s="3" t="s">
        <v>70</v>
      </c>
      <c r="B12" s="3" t="s">
        <v>71</v>
      </c>
      <c r="C12" s="3" t="s">
        <v>48</v>
      </c>
      <c r="D12" s="3" t="s">
        <v>20</v>
      </c>
      <c r="E12" s="22" t="n">
        <v>1572.82</v>
      </c>
      <c r="F12" s="3" t="n">
        <v>6</v>
      </c>
      <c r="G12" s="23" t="n">
        <v>0.05</v>
      </c>
      <c r="H12" s="24" t="n">
        <v>45402</v>
      </c>
      <c r="I12" s="22" t="n">
        <v>672.38</v>
      </c>
      <c r="J12" s="25" t="n">
        <f aca="true">NOW()</f>
        <v>46303.4329743216</v>
      </c>
      <c r="K12" s="26" t="n">
        <f aca="false">SUMIF($A$2:$A$201,A12,$E$2:$E$201)</f>
        <v>6729.89</v>
      </c>
      <c r="L12" s="26" t="n">
        <f aca="false">SUMIF($A$2:$A$201,A12,$I$2:$I$201)</f>
        <v>2507.18</v>
      </c>
    </row>
    <row r="13" customFormat="false" ht="15" hidden="false" customHeight="true" outlineLevel="0" collapsed="false">
      <c r="A13" s="3" t="s">
        <v>70</v>
      </c>
      <c r="B13" s="3" t="s">
        <v>69</v>
      </c>
      <c r="C13" s="3" t="s">
        <v>67</v>
      </c>
      <c r="D13" s="3" t="s">
        <v>16</v>
      </c>
      <c r="E13" s="22" t="n">
        <v>1343.13</v>
      </c>
      <c r="F13" s="3" t="n">
        <v>14</v>
      </c>
      <c r="G13" s="23" t="n">
        <v>0.15</v>
      </c>
      <c r="H13" s="24" t="n">
        <v>45404</v>
      </c>
      <c r="I13" s="22" t="n">
        <v>456.66</v>
      </c>
      <c r="J13" s="25" t="n">
        <f aca="true">NOW()</f>
        <v>46303.4329743219</v>
      </c>
      <c r="K13" s="26" t="n">
        <f aca="false">SUMIF($A$2:$A$201,A13,$E$2:$E$201)</f>
        <v>6729.89</v>
      </c>
      <c r="L13" s="26" t="n">
        <f aca="false">SUMIF($A$2:$A$201,A13,$I$2:$I$201)</f>
        <v>2507.18</v>
      </c>
    </row>
    <row r="14" customFormat="false" ht="15" hidden="false" customHeight="true" outlineLevel="0" collapsed="false">
      <c r="A14" s="3" t="s">
        <v>59</v>
      </c>
      <c r="B14" s="3" t="s">
        <v>60</v>
      </c>
      <c r="C14" s="3" t="s">
        <v>67</v>
      </c>
      <c r="D14" s="3" t="s">
        <v>16</v>
      </c>
      <c r="E14" s="22" t="n">
        <v>1191.58</v>
      </c>
      <c r="F14" s="3" t="n">
        <v>14</v>
      </c>
      <c r="G14" s="23" t="n">
        <v>0.05</v>
      </c>
      <c r="H14" s="24" t="n">
        <v>45406</v>
      </c>
      <c r="I14" s="22" t="n">
        <v>452.8</v>
      </c>
      <c r="J14" s="25" t="n">
        <f aca="true">NOW()</f>
        <v>46303.4329743212</v>
      </c>
      <c r="K14" s="26" t="n">
        <f aca="false">SUMIF($A$2:$A$201,A14,$E$2:$E$201)</f>
        <v>9941.88</v>
      </c>
      <c r="L14" s="26" t="n">
        <f aca="false">SUMIF($A$2:$A$201,A14,$I$2:$I$201)</f>
        <v>3936.26</v>
      </c>
    </row>
    <row r="15" customFormat="false" ht="15" hidden="false" customHeight="true" outlineLevel="0" collapsed="false">
      <c r="A15" s="3" t="s">
        <v>72</v>
      </c>
      <c r="B15" s="3" t="s">
        <v>50</v>
      </c>
      <c r="C15" s="3" t="s">
        <v>48</v>
      </c>
      <c r="D15" s="3" t="s">
        <v>19</v>
      </c>
      <c r="E15" s="22" t="n">
        <v>822.28</v>
      </c>
      <c r="F15" s="3" t="n">
        <v>7</v>
      </c>
      <c r="G15" s="23" t="n">
        <v>0.05</v>
      </c>
      <c r="H15" s="24" t="n">
        <v>45406</v>
      </c>
      <c r="I15" s="22" t="n">
        <v>273.41</v>
      </c>
      <c r="J15" s="25" t="n">
        <f aca="true">NOW()</f>
        <v>46303.4329743216</v>
      </c>
      <c r="K15" s="26" t="n">
        <f aca="false">SUMIF($A$2:$A$201,A15,$E$2:$E$201)</f>
        <v>5913.68</v>
      </c>
      <c r="L15" s="26" t="n">
        <f aca="false">SUMIF($A$2:$A$201,A15,$I$2:$I$201)</f>
        <v>2198.62</v>
      </c>
    </row>
    <row r="16" customFormat="false" ht="15" hidden="false" customHeight="true" outlineLevel="0" collapsed="false">
      <c r="A16" s="3" t="s">
        <v>73</v>
      </c>
      <c r="B16" s="3" t="s">
        <v>74</v>
      </c>
      <c r="C16" s="3" t="s">
        <v>58</v>
      </c>
      <c r="D16" s="3" t="s">
        <v>19</v>
      </c>
      <c r="E16" s="22" t="n">
        <v>521.67</v>
      </c>
      <c r="F16" s="3" t="n">
        <v>15</v>
      </c>
      <c r="G16" s="23" t="n">
        <v>0.15</v>
      </c>
      <c r="H16" s="24" t="n">
        <v>45409</v>
      </c>
      <c r="I16" s="22" t="n">
        <v>155.2</v>
      </c>
      <c r="J16" s="25" t="n">
        <f aca="true">NOW()</f>
        <v>46303.4329743219</v>
      </c>
      <c r="K16" s="26" t="n">
        <f aca="false">SUMIF($A$2:$A$201,A16,$E$2:$E$201)</f>
        <v>5779.05</v>
      </c>
      <c r="L16" s="26" t="n">
        <f aca="false">SUMIF($A$2:$A$201,A16,$I$2:$I$201)</f>
        <v>1611.66</v>
      </c>
    </row>
    <row r="17" customFormat="false" ht="15" hidden="false" customHeight="true" outlineLevel="0" collapsed="false">
      <c r="A17" s="3" t="s">
        <v>54</v>
      </c>
      <c r="B17" s="3" t="s">
        <v>75</v>
      </c>
      <c r="C17" s="3" t="s">
        <v>55</v>
      </c>
      <c r="D17" s="3" t="s">
        <v>18</v>
      </c>
      <c r="E17" s="22" t="n">
        <v>1502.93</v>
      </c>
      <c r="F17" s="3" t="n">
        <v>14</v>
      </c>
      <c r="G17" s="23" t="n">
        <v>0.2</v>
      </c>
      <c r="H17" s="24" t="n">
        <v>45410</v>
      </c>
      <c r="I17" s="22" t="n">
        <v>300.59</v>
      </c>
      <c r="J17" s="25" t="n">
        <f aca="true">NOW()</f>
        <v>46303.4329743212</v>
      </c>
      <c r="K17" s="26" t="n">
        <f aca="false">SUMIF($A$2:$A$201,A17,$E$2:$E$201)</f>
        <v>6666.13</v>
      </c>
      <c r="L17" s="26" t="n">
        <f aca="false">SUMIF($A$2:$A$201,A17,$I$2:$I$201)</f>
        <v>1982.39</v>
      </c>
    </row>
    <row r="18" customFormat="false" ht="15" hidden="false" customHeight="true" outlineLevel="0" collapsed="false">
      <c r="A18" s="3" t="s">
        <v>76</v>
      </c>
      <c r="B18" s="3" t="s">
        <v>50</v>
      </c>
      <c r="C18" s="3" t="s">
        <v>55</v>
      </c>
      <c r="D18" s="3" t="s">
        <v>16</v>
      </c>
      <c r="E18" s="22" t="n">
        <v>877.58</v>
      </c>
      <c r="F18" s="3" t="n">
        <v>10</v>
      </c>
      <c r="G18" s="23" t="n">
        <v>0.15</v>
      </c>
      <c r="H18" s="24" t="n">
        <v>45411</v>
      </c>
      <c r="I18" s="22" t="n">
        <v>298.38</v>
      </c>
      <c r="J18" s="25" t="n">
        <f aca="true">NOW()</f>
        <v>46303.4329743216</v>
      </c>
      <c r="K18" s="26" t="n">
        <f aca="false">SUMIF($A$2:$A$201,A18,$E$2:$E$201)</f>
        <v>9760.8</v>
      </c>
      <c r="L18" s="26" t="n">
        <f aca="false">SUMIF($A$2:$A$201,A18,$I$2:$I$201)</f>
        <v>3442.48</v>
      </c>
    </row>
    <row r="19" customFormat="false" ht="15" hidden="false" customHeight="true" outlineLevel="0" collapsed="false">
      <c r="A19" s="3" t="s">
        <v>61</v>
      </c>
      <c r="B19" s="3" t="s">
        <v>77</v>
      </c>
      <c r="C19" s="3" t="s">
        <v>48</v>
      </c>
      <c r="D19" s="3" t="s">
        <v>16</v>
      </c>
      <c r="E19" s="22" t="n">
        <v>636.7</v>
      </c>
      <c r="F19" s="3" t="n">
        <v>4</v>
      </c>
      <c r="G19" s="23" t="n">
        <v>0.2</v>
      </c>
      <c r="H19" s="24" t="n">
        <v>45411</v>
      </c>
      <c r="I19" s="22" t="n">
        <v>203.74</v>
      </c>
      <c r="J19" s="25" t="n">
        <f aca="true">NOW()</f>
        <v>46303.4329743219</v>
      </c>
      <c r="K19" s="26" t="n">
        <f aca="false">SUMIF($A$2:$A$201,A19,$E$2:$E$201)</f>
        <v>6549.55</v>
      </c>
      <c r="L19" s="26" t="n">
        <f aca="false">SUMIF($A$2:$A$201,A19,$I$2:$I$201)</f>
        <v>1868.77</v>
      </c>
    </row>
    <row r="20" customFormat="false" ht="15" hidden="false" customHeight="true" outlineLevel="0" collapsed="false">
      <c r="A20" s="3" t="s">
        <v>78</v>
      </c>
      <c r="B20" s="3" t="s">
        <v>79</v>
      </c>
      <c r="C20" s="3" t="s">
        <v>48</v>
      </c>
      <c r="D20" s="3" t="s">
        <v>16</v>
      </c>
      <c r="E20" s="22" t="n">
        <v>1506.14</v>
      </c>
      <c r="F20" s="3" t="n">
        <v>13</v>
      </c>
      <c r="G20" s="23" t="n">
        <v>0.2</v>
      </c>
      <c r="H20" s="24" t="n">
        <v>45412</v>
      </c>
      <c r="I20" s="22" t="n">
        <v>481.96</v>
      </c>
      <c r="J20" s="25" t="n">
        <f aca="true">NOW()</f>
        <v>46303.4329743212</v>
      </c>
      <c r="K20" s="26" t="n">
        <f aca="false">SUMIF($A$2:$A$201,A20,$E$2:$E$201)</f>
        <v>2699.75</v>
      </c>
      <c r="L20" s="26" t="n">
        <f aca="false">SUMIF($A$2:$A$201,A20,$I$2:$I$201)</f>
        <v>837.06</v>
      </c>
    </row>
    <row r="21" customFormat="false" ht="15.75" hidden="false" customHeight="true" outlineLevel="0" collapsed="false">
      <c r="A21" s="3" t="s">
        <v>63</v>
      </c>
      <c r="B21" s="3" t="s">
        <v>64</v>
      </c>
      <c r="C21" s="3" t="s">
        <v>67</v>
      </c>
      <c r="D21" s="3" t="s">
        <v>18</v>
      </c>
      <c r="E21" s="22" t="n">
        <v>645.02</v>
      </c>
      <c r="F21" s="3" t="n">
        <v>4</v>
      </c>
      <c r="G21" s="23" t="n">
        <v>0</v>
      </c>
      <c r="H21" s="24" t="n">
        <v>45414</v>
      </c>
      <c r="I21" s="22" t="n">
        <v>161.26</v>
      </c>
      <c r="J21" s="25" t="n">
        <f aca="true">NOW()</f>
        <v>46303.4329743216</v>
      </c>
      <c r="K21" s="26" t="n">
        <f aca="false">SUMIF($A$2:$A$201,A21,$E$2:$E$201)</f>
        <v>9371.81</v>
      </c>
      <c r="L21" s="26" t="n">
        <f aca="false">SUMIF($A$2:$A$201,A21,$I$2:$I$201)</f>
        <v>2922.02</v>
      </c>
    </row>
    <row r="22" customFormat="false" ht="15.75" hidden="false" customHeight="true" outlineLevel="0" collapsed="false">
      <c r="A22" s="3" t="s">
        <v>59</v>
      </c>
      <c r="B22" s="3" t="s">
        <v>80</v>
      </c>
      <c r="C22" s="3" t="s">
        <v>55</v>
      </c>
      <c r="D22" s="3" t="s">
        <v>17</v>
      </c>
      <c r="E22" s="22" t="n">
        <v>953.3</v>
      </c>
      <c r="F22" s="3" t="n">
        <v>11</v>
      </c>
      <c r="G22" s="23" t="n">
        <v>0</v>
      </c>
      <c r="H22" s="24" t="n">
        <v>45415</v>
      </c>
      <c r="I22" s="22" t="n">
        <v>476.65</v>
      </c>
      <c r="J22" s="25" t="n">
        <f aca="true">NOW()</f>
        <v>46303.4329743219</v>
      </c>
      <c r="K22" s="26" t="n">
        <f aca="false">SUMIF($A$2:$A$201,A22,$E$2:$E$201)</f>
        <v>9941.88</v>
      </c>
      <c r="L22" s="26" t="n">
        <f aca="false">SUMIF($A$2:$A$201,A22,$I$2:$I$201)</f>
        <v>3936.26</v>
      </c>
    </row>
    <row r="23" customFormat="false" ht="15.75" hidden="false" customHeight="true" outlineLevel="0" collapsed="false">
      <c r="A23" s="3" t="s">
        <v>81</v>
      </c>
      <c r="B23" s="3" t="s">
        <v>50</v>
      </c>
      <c r="C23" s="3" t="s">
        <v>58</v>
      </c>
      <c r="D23" s="3" t="s">
        <v>18</v>
      </c>
      <c r="E23" s="22" t="n">
        <v>388.56</v>
      </c>
      <c r="F23" s="3" t="n">
        <v>14</v>
      </c>
      <c r="G23" s="23" t="n">
        <v>0.15</v>
      </c>
      <c r="H23" s="24" t="n">
        <v>45416</v>
      </c>
      <c r="I23" s="22" t="n">
        <v>82.57</v>
      </c>
      <c r="J23" s="25" t="n">
        <f aca="true">NOW()</f>
        <v>46303.4329743212</v>
      </c>
      <c r="K23" s="26" t="n">
        <f aca="false">SUMIF($A$2:$A$201,A23,$E$2:$E$201)</f>
        <v>4418.28</v>
      </c>
      <c r="L23" s="26" t="n">
        <f aca="false">SUMIF($A$2:$A$201,A23,$I$2:$I$201)</f>
        <v>1605.23</v>
      </c>
    </row>
    <row r="24" customFormat="false" ht="15.75" hidden="false" customHeight="true" outlineLevel="0" collapsed="false">
      <c r="A24" s="3" t="s">
        <v>46</v>
      </c>
      <c r="B24" s="3" t="s">
        <v>64</v>
      </c>
      <c r="C24" s="3" t="s">
        <v>48</v>
      </c>
      <c r="D24" s="3" t="s">
        <v>16</v>
      </c>
      <c r="E24" s="22" t="n">
        <v>743.17</v>
      </c>
      <c r="F24" s="3" t="n">
        <v>9</v>
      </c>
      <c r="G24" s="23" t="n">
        <v>0</v>
      </c>
      <c r="H24" s="24" t="n">
        <v>45416</v>
      </c>
      <c r="I24" s="22" t="n">
        <v>297.27</v>
      </c>
      <c r="J24" s="25" t="n">
        <f aca="true">NOW()</f>
        <v>46303.4329743216</v>
      </c>
      <c r="K24" s="26" t="n">
        <f aca="false">SUMIF($A$2:$A$201,A24,$E$2:$E$201)</f>
        <v>4640.11</v>
      </c>
      <c r="L24" s="26" t="n">
        <f aca="false">SUMIF($A$2:$A$201,A24,$I$2:$I$201)</f>
        <v>1721.12</v>
      </c>
    </row>
    <row r="25" customFormat="false" ht="15.75" hidden="false" customHeight="true" outlineLevel="0" collapsed="false">
      <c r="A25" s="3" t="s">
        <v>72</v>
      </c>
      <c r="B25" s="3" t="s">
        <v>64</v>
      </c>
      <c r="C25" s="3" t="s">
        <v>67</v>
      </c>
      <c r="D25" s="3" t="s">
        <v>18</v>
      </c>
      <c r="E25" s="22" t="n">
        <v>706.37</v>
      </c>
      <c r="F25" s="3" t="n">
        <v>6</v>
      </c>
      <c r="G25" s="23" t="n">
        <v>0</v>
      </c>
      <c r="H25" s="24" t="n">
        <v>45416</v>
      </c>
      <c r="I25" s="22" t="n">
        <v>176.59</v>
      </c>
      <c r="J25" s="25" t="n">
        <f aca="true">NOW()</f>
        <v>46303.4329743219</v>
      </c>
      <c r="K25" s="26" t="n">
        <f aca="false">SUMIF($A$2:$A$201,A25,$E$2:$E$201)</f>
        <v>5913.68</v>
      </c>
      <c r="L25" s="26" t="n">
        <f aca="false">SUMIF($A$2:$A$201,A25,$I$2:$I$201)</f>
        <v>2198.62</v>
      </c>
    </row>
    <row r="26" customFormat="false" ht="15.75" hidden="false" customHeight="true" outlineLevel="0" collapsed="false">
      <c r="A26" s="3" t="s">
        <v>49</v>
      </c>
      <c r="B26" s="3" t="s">
        <v>64</v>
      </c>
      <c r="C26" s="3" t="s">
        <v>67</v>
      </c>
      <c r="D26" s="3" t="s">
        <v>20</v>
      </c>
      <c r="E26" s="22" t="n">
        <v>925.31</v>
      </c>
      <c r="F26" s="3" t="n">
        <v>8</v>
      </c>
      <c r="G26" s="23" t="n">
        <v>0.1</v>
      </c>
      <c r="H26" s="24" t="n">
        <v>45418</v>
      </c>
      <c r="I26" s="22" t="n">
        <v>374.75</v>
      </c>
      <c r="J26" s="25" t="n">
        <f aca="true">NOW()</f>
        <v>46303.4329743212</v>
      </c>
      <c r="K26" s="26" t="n">
        <f aca="false">SUMIF($A$2:$A$201,A26,$E$2:$E$201)</f>
        <v>8339</v>
      </c>
      <c r="L26" s="26" t="n">
        <f aca="false">SUMIF($A$2:$A$201,A26,$I$2:$I$201)</f>
        <v>2988.71</v>
      </c>
    </row>
    <row r="27" customFormat="false" ht="15.75" hidden="false" customHeight="true" outlineLevel="0" collapsed="false">
      <c r="A27" s="3" t="s">
        <v>68</v>
      </c>
      <c r="B27" s="3" t="s">
        <v>82</v>
      </c>
      <c r="C27" s="3" t="s">
        <v>55</v>
      </c>
      <c r="D27" s="3" t="s">
        <v>18</v>
      </c>
      <c r="E27" s="22" t="n">
        <v>1173.12</v>
      </c>
      <c r="F27" s="3" t="n">
        <v>18</v>
      </c>
      <c r="G27" s="23" t="n">
        <v>0</v>
      </c>
      <c r="H27" s="24" t="n">
        <v>45418</v>
      </c>
      <c r="I27" s="22" t="n">
        <v>293.28</v>
      </c>
      <c r="J27" s="25" t="n">
        <f aca="true">NOW()</f>
        <v>46303.4329743216</v>
      </c>
      <c r="K27" s="26" t="n">
        <f aca="false">SUMIF($A$2:$A$201,A27,$E$2:$E$201)</f>
        <v>4259.22</v>
      </c>
      <c r="L27" s="26" t="n">
        <f aca="false">SUMIF($A$2:$A$201,A27,$I$2:$I$201)</f>
        <v>1529.32</v>
      </c>
    </row>
    <row r="28" customFormat="false" ht="15.75" hidden="false" customHeight="true" outlineLevel="0" collapsed="false">
      <c r="A28" s="3" t="s">
        <v>56</v>
      </c>
      <c r="B28" s="3" t="s">
        <v>83</v>
      </c>
      <c r="C28" s="3" t="s">
        <v>58</v>
      </c>
      <c r="D28" s="3" t="s">
        <v>19</v>
      </c>
      <c r="E28" s="22" t="n">
        <v>675.54</v>
      </c>
      <c r="F28" s="3" t="n">
        <v>17</v>
      </c>
      <c r="G28" s="23" t="n">
        <v>0</v>
      </c>
      <c r="H28" s="24" t="n">
        <v>45420</v>
      </c>
      <c r="I28" s="22" t="n">
        <v>236.44</v>
      </c>
      <c r="J28" s="25" t="n">
        <f aca="true">NOW()</f>
        <v>46303.4329743219</v>
      </c>
      <c r="K28" s="26" t="n">
        <f aca="false">SUMIF($A$2:$A$201,A28,$E$2:$E$201)</f>
        <v>7928.71</v>
      </c>
      <c r="L28" s="26" t="n">
        <f aca="false">SUMIF($A$2:$A$201,A28,$I$2:$I$201)</f>
        <v>2965.48</v>
      </c>
    </row>
    <row r="29" customFormat="false" ht="15.75" hidden="false" customHeight="true" outlineLevel="0" collapsed="false">
      <c r="A29" s="3" t="s">
        <v>59</v>
      </c>
      <c r="B29" s="3" t="s">
        <v>50</v>
      </c>
      <c r="C29" s="3" t="s">
        <v>67</v>
      </c>
      <c r="D29" s="3" t="s">
        <v>16</v>
      </c>
      <c r="E29" s="22" t="n">
        <v>939.09</v>
      </c>
      <c r="F29" s="3" t="n">
        <v>2</v>
      </c>
      <c r="G29" s="23" t="n">
        <v>0.05</v>
      </c>
      <c r="H29" s="24" t="n">
        <v>45422</v>
      </c>
      <c r="I29" s="22" t="n">
        <v>356.85</v>
      </c>
      <c r="J29" s="25" t="n">
        <f aca="true">NOW()</f>
        <v>46303.4329743212</v>
      </c>
      <c r="K29" s="26" t="n">
        <f aca="false">SUMIF($A$2:$A$201,A29,$E$2:$E$201)</f>
        <v>9941.88</v>
      </c>
      <c r="L29" s="26" t="n">
        <f aca="false">SUMIF($A$2:$A$201,A29,$I$2:$I$201)</f>
        <v>3936.26</v>
      </c>
    </row>
    <row r="30" customFormat="false" ht="15.75" hidden="false" customHeight="true" outlineLevel="0" collapsed="false">
      <c r="A30" s="3" t="s">
        <v>84</v>
      </c>
      <c r="B30" s="3" t="s">
        <v>85</v>
      </c>
      <c r="C30" s="3" t="s">
        <v>53</v>
      </c>
      <c r="D30" s="3" t="s">
        <v>20</v>
      </c>
      <c r="E30" s="22" t="n">
        <v>983.34</v>
      </c>
      <c r="F30" s="3" t="n">
        <v>19</v>
      </c>
      <c r="G30" s="23" t="n">
        <v>0.1</v>
      </c>
      <c r="H30" s="24" t="n">
        <v>45426</v>
      </c>
      <c r="I30" s="22" t="n">
        <v>398.25</v>
      </c>
      <c r="J30" s="25" t="n">
        <f aca="true">NOW()</f>
        <v>46303.4329743216</v>
      </c>
      <c r="K30" s="26" t="n">
        <f aca="false">SUMIF($A$2:$A$201,A30,$E$2:$E$201)</f>
        <v>10293.87</v>
      </c>
      <c r="L30" s="26" t="n">
        <f aca="false">SUMIF($A$2:$A$201,A30,$I$2:$I$201)</f>
        <v>3541.02</v>
      </c>
    </row>
    <row r="31" customFormat="false" ht="15.75" hidden="false" customHeight="true" outlineLevel="0" collapsed="false">
      <c r="A31" s="3" t="s">
        <v>84</v>
      </c>
      <c r="B31" s="3" t="s">
        <v>57</v>
      </c>
      <c r="C31" s="3" t="s">
        <v>55</v>
      </c>
      <c r="D31" s="3" t="s">
        <v>18</v>
      </c>
      <c r="E31" s="22" t="n">
        <v>801.21</v>
      </c>
      <c r="F31" s="3" t="n">
        <v>3</v>
      </c>
      <c r="G31" s="23" t="n">
        <v>0.2</v>
      </c>
      <c r="H31" s="24" t="n">
        <v>45426</v>
      </c>
      <c r="I31" s="22" t="n">
        <v>160.24</v>
      </c>
      <c r="J31" s="25" t="n">
        <f aca="true">NOW()</f>
        <v>46303.4329743219</v>
      </c>
      <c r="K31" s="26" t="n">
        <f aca="false">SUMIF($A$2:$A$201,A31,$E$2:$E$201)</f>
        <v>10293.87</v>
      </c>
      <c r="L31" s="26" t="n">
        <f aca="false">SUMIF($A$2:$A$201,A31,$I$2:$I$201)</f>
        <v>3541.02</v>
      </c>
    </row>
    <row r="32" customFormat="false" ht="15.75" hidden="false" customHeight="true" outlineLevel="0" collapsed="false">
      <c r="A32" s="3" t="s">
        <v>86</v>
      </c>
      <c r="B32" s="3" t="s">
        <v>87</v>
      </c>
      <c r="C32" s="3" t="s">
        <v>58</v>
      </c>
      <c r="D32" s="3" t="s">
        <v>18</v>
      </c>
      <c r="E32" s="22" t="n">
        <v>1450.71</v>
      </c>
      <c r="F32" s="3" t="n">
        <v>5</v>
      </c>
      <c r="G32" s="23" t="n">
        <v>0.1</v>
      </c>
      <c r="H32" s="24" t="n">
        <v>45427</v>
      </c>
      <c r="I32" s="22" t="n">
        <v>326.41</v>
      </c>
      <c r="J32" s="25" t="n">
        <f aca="true">NOW()</f>
        <v>46303.4329743212</v>
      </c>
      <c r="K32" s="26" t="n">
        <f aca="false">SUMIF($A$2:$A$201,A32,$E$2:$E$201)</f>
        <v>6716.52</v>
      </c>
      <c r="L32" s="26" t="n">
        <f aca="false">SUMIF($A$2:$A$201,A32,$I$2:$I$201)</f>
        <v>2327.84</v>
      </c>
    </row>
    <row r="33" customFormat="false" ht="15.75" hidden="false" customHeight="true" outlineLevel="0" collapsed="false">
      <c r="A33" s="3" t="s">
        <v>81</v>
      </c>
      <c r="B33" s="3" t="s">
        <v>88</v>
      </c>
      <c r="C33" s="3" t="s">
        <v>67</v>
      </c>
      <c r="D33" s="3" t="s">
        <v>16</v>
      </c>
      <c r="E33" s="22" t="n">
        <v>1023.21</v>
      </c>
      <c r="F33" s="3" t="n">
        <v>18</v>
      </c>
      <c r="G33" s="23" t="n">
        <v>0.05</v>
      </c>
      <c r="H33" s="24" t="n">
        <v>45428</v>
      </c>
      <c r="I33" s="22" t="n">
        <v>388.82</v>
      </c>
      <c r="J33" s="25" t="n">
        <f aca="true">NOW()</f>
        <v>46303.4329743217</v>
      </c>
      <c r="K33" s="26" t="n">
        <f aca="false">SUMIF($A$2:$A$201,A33,$E$2:$E$201)</f>
        <v>4418.28</v>
      </c>
      <c r="L33" s="26" t="n">
        <f aca="false">SUMIF($A$2:$A$201,A33,$I$2:$I$201)</f>
        <v>1605.23</v>
      </c>
    </row>
    <row r="34" customFormat="false" ht="15.75" hidden="false" customHeight="true" outlineLevel="0" collapsed="false">
      <c r="A34" s="3" t="s">
        <v>61</v>
      </c>
      <c r="B34" s="3" t="s">
        <v>79</v>
      </c>
      <c r="C34" s="3" t="s">
        <v>48</v>
      </c>
      <c r="D34" s="3" t="s">
        <v>19</v>
      </c>
      <c r="E34" s="22" t="n">
        <v>853.72</v>
      </c>
      <c r="F34" s="3" t="n">
        <v>5</v>
      </c>
      <c r="G34" s="23" t="n">
        <v>0.15</v>
      </c>
      <c r="H34" s="24" t="n">
        <v>45428</v>
      </c>
      <c r="I34" s="22" t="n">
        <v>253.98</v>
      </c>
      <c r="J34" s="25" t="n">
        <f aca="true">NOW()</f>
        <v>46303.432974322</v>
      </c>
      <c r="K34" s="26" t="n">
        <f aca="false">SUMIF($A$2:$A$201,A34,$E$2:$E$201)</f>
        <v>6549.55</v>
      </c>
      <c r="L34" s="26" t="n">
        <f aca="false">SUMIF($A$2:$A$201,A34,$I$2:$I$201)</f>
        <v>1868.77</v>
      </c>
    </row>
    <row r="35" customFormat="false" ht="15.75" hidden="false" customHeight="true" outlineLevel="0" collapsed="false">
      <c r="A35" s="3" t="s">
        <v>89</v>
      </c>
      <c r="B35" s="3" t="s">
        <v>75</v>
      </c>
      <c r="C35" s="3" t="s">
        <v>55</v>
      </c>
      <c r="D35" s="3" t="s">
        <v>18</v>
      </c>
      <c r="E35" s="22" t="n">
        <v>967.89</v>
      </c>
      <c r="F35" s="3" t="n">
        <v>10</v>
      </c>
      <c r="G35" s="23" t="n">
        <v>0.1</v>
      </c>
      <c r="H35" s="24" t="n">
        <v>45429</v>
      </c>
      <c r="I35" s="22" t="n">
        <v>217.78</v>
      </c>
      <c r="J35" s="25" t="n">
        <f aca="true">NOW()</f>
        <v>46303.4329743212</v>
      </c>
      <c r="K35" s="26" t="n">
        <f aca="false">SUMIF($A$2:$A$201,A35,$E$2:$E$201)</f>
        <v>8740.18</v>
      </c>
      <c r="L35" s="26" t="n">
        <f aca="false">SUMIF($A$2:$A$201,A35,$I$2:$I$201)</f>
        <v>2848.62</v>
      </c>
    </row>
    <row r="36" customFormat="false" ht="15.75" hidden="false" customHeight="true" outlineLevel="0" collapsed="false">
      <c r="A36" s="3" t="s">
        <v>90</v>
      </c>
      <c r="B36" s="3" t="s">
        <v>85</v>
      </c>
      <c r="C36" s="3" t="s">
        <v>58</v>
      </c>
      <c r="D36" s="3" t="s">
        <v>20</v>
      </c>
      <c r="E36" s="22" t="n">
        <v>1200.9</v>
      </c>
      <c r="F36" s="3" t="n">
        <v>14</v>
      </c>
      <c r="G36" s="23" t="n">
        <v>0.05</v>
      </c>
      <c r="H36" s="24" t="n">
        <v>45429</v>
      </c>
      <c r="I36" s="22" t="n">
        <v>513.38</v>
      </c>
      <c r="J36" s="25" t="n">
        <f aca="true">NOW()</f>
        <v>46303.4329743217</v>
      </c>
      <c r="K36" s="26" t="n">
        <f aca="false">SUMIF($A$2:$A$201,A36,$E$2:$E$201)</f>
        <v>11611.06</v>
      </c>
      <c r="L36" s="26" t="n">
        <f aca="false">SUMIF($A$2:$A$201,A36,$I$2:$I$201)</f>
        <v>4201.59</v>
      </c>
    </row>
    <row r="37" customFormat="false" ht="15.75" hidden="false" customHeight="true" outlineLevel="0" collapsed="false">
      <c r="A37" s="3" t="s">
        <v>49</v>
      </c>
      <c r="B37" s="3" t="s">
        <v>60</v>
      </c>
      <c r="C37" s="3" t="s">
        <v>48</v>
      </c>
      <c r="D37" s="3" t="s">
        <v>16</v>
      </c>
      <c r="E37" s="22" t="n">
        <v>472.38</v>
      </c>
      <c r="F37" s="3" t="n">
        <v>12</v>
      </c>
      <c r="G37" s="23" t="n">
        <v>0.2</v>
      </c>
      <c r="H37" s="24" t="n">
        <v>45429</v>
      </c>
      <c r="I37" s="22" t="n">
        <v>151.16</v>
      </c>
      <c r="J37" s="25" t="n">
        <f aca="true">NOW()</f>
        <v>46303.432974322</v>
      </c>
      <c r="K37" s="26" t="n">
        <f aca="false">SUMIF($A$2:$A$201,A37,$E$2:$E$201)</f>
        <v>8339</v>
      </c>
      <c r="L37" s="26" t="n">
        <f aca="false">SUMIF($A$2:$A$201,A37,$I$2:$I$201)</f>
        <v>2988.71</v>
      </c>
    </row>
    <row r="38" customFormat="false" ht="15.75" hidden="false" customHeight="true" outlineLevel="0" collapsed="false">
      <c r="A38" s="3" t="s">
        <v>46</v>
      </c>
      <c r="B38" s="3" t="s">
        <v>87</v>
      </c>
      <c r="C38" s="3" t="s">
        <v>53</v>
      </c>
      <c r="D38" s="3" t="s">
        <v>20</v>
      </c>
      <c r="E38" s="22" t="n">
        <v>840.92</v>
      </c>
      <c r="F38" s="3" t="n">
        <v>9</v>
      </c>
      <c r="G38" s="23" t="n">
        <v>0.05</v>
      </c>
      <c r="H38" s="24" t="n">
        <v>45429</v>
      </c>
      <c r="I38" s="22" t="n">
        <v>359.49</v>
      </c>
      <c r="J38" s="25" t="n">
        <f aca="true">NOW()</f>
        <v>46303.4329743212</v>
      </c>
      <c r="K38" s="26" t="n">
        <f aca="false">SUMIF($A$2:$A$201,A38,$E$2:$E$201)</f>
        <v>4640.11</v>
      </c>
      <c r="L38" s="26" t="n">
        <f aca="false">SUMIF($A$2:$A$201,A38,$I$2:$I$201)</f>
        <v>1721.12</v>
      </c>
    </row>
    <row r="39" customFormat="false" ht="15.75" hidden="false" customHeight="true" outlineLevel="0" collapsed="false">
      <c r="A39" s="3" t="s">
        <v>84</v>
      </c>
      <c r="B39" s="3" t="s">
        <v>80</v>
      </c>
      <c r="C39" s="3" t="s">
        <v>67</v>
      </c>
      <c r="D39" s="3" t="s">
        <v>19</v>
      </c>
      <c r="E39" s="22" t="n">
        <v>1410.06</v>
      </c>
      <c r="F39" s="3" t="n">
        <v>11</v>
      </c>
      <c r="G39" s="23" t="n">
        <v>0.05</v>
      </c>
      <c r="H39" s="24" t="n">
        <v>45434</v>
      </c>
      <c r="I39" s="22" t="n">
        <v>468.84</v>
      </c>
      <c r="J39" s="25" t="n">
        <f aca="true">NOW()</f>
        <v>46303.4329743217</v>
      </c>
      <c r="K39" s="26" t="n">
        <f aca="false">SUMIF($A$2:$A$201,A39,$E$2:$E$201)</f>
        <v>10293.87</v>
      </c>
      <c r="L39" s="26" t="n">
        <f aca="false">SUMIF($A$2:$A$201,A39,$I$2:$I$201)</f>
        <v>3541.02</v>
      </c>
    </row>
    <row r="40" customFormat="false" ht="15.75" hidden="false" customHeight="true" outlineLevel="0" collapsed="false">
      <c r="A40" s="3" t="s">
        <v>76</v>
      </c>
      <c r="B40" s="3" t="s">
        <v>91</v>
      </c>
      <c r="C40" s="3" t="s">
        <v>67</v>
      </c>
      <c r="D40" s="3" t="s">
        <v>19</v>
      </c>
      <c r="E40" s="22" t="n">
        <v>773.09</v>
      </c>
      <c r="F40" s="3" t="n">
        <v>13</v>
      </c>
      <c r="G40" s="23" t="n">
        <v>0.15</v>
      </c>
      <c r="H40" s="24" t="n">
        <v>45434</v>
      </c>
      <c r="I40" s="22" t="n">
        <v>229.99</v>
      </c>
      <c r="J40" s="25" t="n">
        <f aca="true">NOW()</f>
        <v>46303.432974322</v>
      </c>
      <c r="K40" s="26" t="n">
        <f aca="false">SUMIF($A$2:$A$201,A40,$E$2:$E$201)</f>
        <v>9760.8</v>
      </c>
      <c r="L40" s="26" t="n">
        <f aca="false">SUMIF($A$2:$A$201,A40,$I$2:$I$201)</f>
        <v>3442.48</v>
      </c>
    </row>
    <row r="41" customFormat="false" ht="15.75" hidden="false" customHeight="true" outlineLevel="0" collapsed="false">
      <c r="A41" s="3" t="s">
        <v>92</v>
      </c>
      <c r="B41" s="3" t="s">
        <v>93</v>
      </c>
      <c r="C41" s="3" t="s">
        <v>53</v>
      </c>
      <c r="D41" s="3" t="s">
        <v>16</v>
      </c>
      <c r="E41" s="22" t="n">
        <v>580.43</v>
      </c>
      <c r="F41" s="3" t="n">
        <v>19</v>
      </c>
      <c r="G41" s="23" t="n">
        <v>0.15</v>
      </c>
      <c r="H41" s="24" t="n">
        <v>45435</v>
      </c>
      <c r="I41" s="22" t="n">
        <v>197.35</v>
      </c>
      <c r="J41" s="25" t="n">
        <f aca="true">NOW()</f>
        <v>46303.4329743212</v>
      </c>
      <c r="K41" s="26" t="n">
        <f aca="false">SUMIF($A$2:$A$201,A41,$E$2:$E$201)</f>
        <v>3369.17</v>
      </c>
      <c r="L41" s="26" t="n">
        <f aca="false">SUMIF($A$2:$A$201,A41,$I$2:$I$201)</f>
        <v>1497.25</v>
      </c>
    </row>
    <row r="42" customFormat="false" ht="15.75" hidden="false" customHeight="true" outlineLevel="0" collapsed="false">
      <c r="A42" s="3" t="s">
        <v>54</v>
      </c>
      <c r="B42" s="3" t="s">
        <v>74</v>
      </c>
      <c r="C42" s="3" t="s">
        <v>55</v>
      </c>
      <c r="D42" s="3" t="s">
        <v>16</v>
      </c>
      <c r="E42" s="22" t="n">
        <v>1151.21</v>
      </c>
      <c r="F42" s="3" t="n">
        <v>15</v>
      </c>
      <c r="G42" s="23" t="n">
        <v>0.1</v>
      </c>
      <c r="H42" s="24" t="n">
        <v>45445</v>
      </c>
      <c r="I42" s="22" t="n">
        <v>414.44</v>
      </c>
      <c r="J42" s="25" t="n">
        <f aca="true">NOW()</f>
        <v>46303.4329743217</v>
      </c>
      <c r="K42" s="26" t="n">
        <f aca="false">SUMIF($A$2:$A$201,A42,$E$2:$E$201)</f>
        <v>6666.13</v>
      </c>
      <c r="L42" s="26" t="n">
        <f aca="false">SUMIF($A$2:$A$201,A42,$I$2:$I$201)</f>
        <v>1982.39</v>
      </c>
    </row>
    <row r="43" customFormat="false" ht="15.75" hidden="false" customHeight="true" outlineLevel="0" collapsed="false">
      <c r="A43" s="3" t="s">
        <v>84</v>
      </c>
      <c r="B43" s="3" t="s">
        <v>57</v>
      </c>
      <c r="C43" s="3" t="s">
        <v>67</v>
      </c>
      <c r="D43" s="3" t="s">
        <v>20</v>
      </c>
      <c r="E43" s="22" t="n">
        <v>1025.98</v>
      </c>
      <c r="F43" s="3" t="n">
        <v>5</v>
      </c>
      <c r="G43" s="23" t="n">
        <v>0.2</v>
      </c>
      <c r="H43" s="24" t="n">
        <v>45447</v>
      </c>
      <c r="I43" s="22" t="n">
        <v>369.35</v>
      </c>
      <c r="J43" s="25" t="n">
        <f aca="true">NOW()</f>
        <v>46303.432974322</v>
      </c>
      <c r="K43" s="26" t="n">
        <f aca="false">SUMIF($A$2:$A$201,A43,$E$2:$E$201)</f>
        <v>10293.87</v>
      </c>
      <c r="L43" s="26" t="n">
        <f aca="false">SUMIF($A$2:$A$201,A43,$I$2:$I$201)</f>
        <v>3541.02</v>
      </c>
    </row>
    <row r="44" customFormat="false" ht="15.75" hidden="false" customHeight="true" outlineLevel="0" collapsed="false">
      <c r="A44" s="3" t="s">
        <v>72</v>
      </c>
      <c r="B44" s="3" t="s">
        <v>88</v>
      </c>
      <c r="C44" s="3" t="s">
        <v>53</v>
      </c>
      <c r="D44" s="3" t="s">
        <v>20</v>
      </c>
      <c r="E44" s="22" t="n">
        <v>556.42</v>
      </c>
      <c r="F44" s="3" t="n">
        <v>11</v>
      </c>
      <c r="G44" s="23" t="n">
        <v>0.15</v>
      </c>
      <c r="H44" s="24" t="n">
        <v>45447</v>
      </c>
      <c r="I44" s="22" t="n">
        <v>212.83</v>
      </c>
      <c r="J44" s="25" t="n">
        <f aca="true">NOW()</f>
        <v>46303.4329743212</v>
      </c>
      <c r="K44" s="26" t="n">
        <f aca="false">SUMIF($A$2:$A$201,A44,$E$2:$E$201)</f>
        <v>5913.68</v>
      </c>
      <c r="L44" s="26" t="n">
        <f aca="false">SUMIF($A$2:$A$201,A44,$I$2:$I$201)</f>
        <v>2198.62</v>
      </c>
    </row>
    <row r="45" customFormat="false" ht="15.75" hidden="false" customHeight="true" outlineLevel="0" collapsed="false">
      <c r="A45" s="3" t="s">
        <v>89</v>
      </c>
      <c r="B45" s="3" t="s">
        <v>57</v>
      </c>
      <c r="C45" s="3" t="s">
        <v>67</v>
      </c>
      <c r="D45" s="3" t="s">
        <v>16</v>
      </c>
      <c r="E45" s="22" t="n">
        <v>840.85</v>
      </c>
      <c r="F45" s="3" t="n">
        <v>19</v>
      </c>
      <c r="G45" s="23" t="n">
        <v>0.1</v>
      </c>
      <c r="H45" s="24" t="n">
        <v>45448</v>
      </c>
      <c r="I45" s="22" t="n">
        <v>302.71</v>
      </c>
      <c r="J45" s="25" t="n">
        <f aca="true">NOW()</f>
        <v>46303.4329743217</v>
      </c>
      <c r="K45" s="26" t="n">
        <f aca="false">SUMIF($A$2:$A$201,A45,$E$2:$E$201)</f>
        <v>8740.18</v>
      </c>
      <c r="L45" s="26" t="n">
        <f aca="false">SUMIF($A$2:$A$201,A45,$I$2:$I$201)</f>
        <v>2848.62</v>
      </c>
    </row>
    <row r="46" customFormat="false" ht="15.75" hidden="false" customHeight="true" outlineLevel="0" collapsed="false">
      <c r="A46" s="3" t="s">
        <v>63</v>
      </c>
      <c r="B46" s="3" t="s">
        <v>93</v>
      </c>
      <c r="C46" s="3" t="s">
        <v>58</v>
      </c>
      <c r="D46" s="3" t="s">
        <v>19</v>
      </c>
      <c r="E46" s="22" t="n">
        <v>1227.25</v>
      </c>
      <c r="F46" s="3" t="n">
        <v>12</v>
      </c>
      <c r="G46" s="23" t="n">
        <v>0.15</v>
      </c>
      <c r="H46" s="24" t="n">
        <v>45448</v>
      </c>
      <c r="I46" s="22" t="n">
        <v>365.11</v>
      </c>
      <c r="J46" s="25" t="n">
        <f aca="true">NOW()</f>
        <v>46303.432974322</v>
      </c>
      <c r="K46" s="26" t="n">
        <f aca="false">SUMIF($A$2:$A$201,A46,$E$2:$E$201)</f>
        <v>9371.81</v>
      </c>
      <c r="L46" s="26" t="n">
        <f aca="false">SUMIF($A$2:$A$201,A46,$I$2:$I$201)</f>
        <v>2922.02</v>
      </c>
    </row>
    <row r="47" customFormat="false" ht="15.75" hidden="false" customHeight="true" outlineLevel="0" collapsed="false">
      <c r="A47" s="3" t="s">
        <v>51</v>
      </c>
      <c r="B47" s="3" t="s">
        <v>94</v>
      </c>
      <c r="C47" s="3" t="s">
        <v>67</v>
      </c>
      <c r="D47" s="3" t="s">
        <v>18</v>
      </c>
      <c r="E47" s="22" t="n">
        <v>856.7</v>
      </c>
      <c r="F47" s="3" t="n">
        <v>2</v>
      </c>
      <c r="G47" s="23" t="n">
        <v>0</v>
      </c>
      <c r="H47" s="24" t="n">
        <v>45449</v>
      </c>
      <c r="I47" s="22" t="n">
        <v>214.18</v>
      </c>
      <c r="J47" s="25" t="n">
        <f aca="true">NOW()</f>
        <v>46303.4329743212</v>
      </c>
      <c r="K47" s="26" t="n">
        <f aca="false">SUMIF($A$2:$A$201,A47,$E$2:$E$201)</f>
        <v>3419.2</v>
      </c>
      <c r="L47" s="26" t="n">
        <f aca="false">SUMIF($A$2:$A$201,A47,$I$2:$I$201)</f>
        <v>1257.21</v>
      </c>
    </row>
    <row r="48" customFormat="false" ht="15.75" hidden="false" customHeight="true" outlineLevel="0" collapsed="false">
      <c r="A48" s="3" t="s">
        <v>86</v>
      </c>
      <c r="B48" s="3" t="s">
        <v>88</v>
      </c>
      <c r="C48" s="3" t="s">
        <v>67</v>
      </c>
      <c r="D48" s="3" t="s">
        <v>20</v>
      </c>
      <c r="E48" s="22" t="n">
        <v>1225.42</v>
      </c>
      <c r="F48" s="3" t="n">
        <v>8</v>
      </c>
      <c r="G48" s="23" t="n">
        <v>0.15</v>
      </c>
      <c r="H48" s="24" t="n">
        <v>45449</v>
      </c>
      <c r="I48" s="22" t="n">
        <v>468.72</v>
      </c>
      <c r="J48" s="25" t="n">
        <f aca="true">NOW()</f>
        <v>46303.4329743217</v>
      </c>
      <c r="K48" s="26" t="n">
        <f aca="false">SUMIF($A$2:$A$201,A48,$E$2:$E$201)</f>
        <v>6716.52</v>
      </c>
      <c r="L48" s="26" t="n">
        <f aca="false">SUMIF($A$2:$A$201,A48,$I$2:$I$201)</f>
        <v>2327.84</v>
      </c>
    </row>
    <row r="49" customFormat="false" ht="15.75" hidden="false" customHeight="true" outlineLevel="0" collapsed="false">
      <c r="A49" s="3" t="s">
        <v>95</v>
      </c>
      <c r="B49" s="3" t="s">
        <v>64</v>
      </c>
      <c r="C49" s="3" t="s">
        <v>58</v>
      </c>
      <c r="D49" s="3" t="s">
        <v>20</v>
      </c>
      <c r="E49" s="22" t="n">
        <v>1001.57</v>
      </c>
      <c r="F49" s="3" t="n">
        <v>12</v>
      </c>
      <c r="G49" s="23" t="n">
        <v>0</v>
      </c>
      <c r="H49" s="24" t="n">
        <v>45450</v>
      </c>
      <c r="I49" s="22" t="n">
        <v>450.71</v>
      </c>
      <c r="J49" s="25" t="n">
        <f aca="true">NOW()</f>
        <v>46303.432974322</v>
      </c>
      <c r="K49" s="26" t="n">
        <f aca="false">SUMIF($A$2:$A$201,A49,$E$2:$E$201)</f>
        <v>3762.29</v>
      </c>
      <c r="L49" s="26" t="n">
        <f aca="false">SUMIF($A$2:$A$201,A49,$I$2:$I$201)</f>
        <v>1545.04</v>
      </c>
    </row>
    <row r="50" customFormat="false" ht="15.75" hidden="false" customHeight="true" outlineLevel="0" collapsed="false">
      <c r="A50" s="3" t="s">
        <v>89</v>
      </c>
      <c r="B50" s="3" t="s">
        <v>60</v>
      </c>
      <c r="C50" s="3" t="s">
        <v>53</v>
      </c>
      <c r="D50" s="3" t="s">
        <v>19</v>
      </c>
      <c r="E50" s="22" t="n">
        <v>1186.85</v>
      </c>
      <c r="F50" s="3" t="n">
        <v>19</v>
      </c>
      <c r="G50" s="23" t="n">
        <v>0.2</v>
      </c>
      <c r="H50" s="24" t="n">
        <v>45451</v>
      </c>
      <c r="I50" s="22" t="n">
        <v>332.32</v>
      </c>
      <c r="J50" s="25" t="n">
        <f aca="true">NOW()</f>
        <v>46303.4329743212</v>
      </c>
      <c r="K50" s="26" t="n">
        <f aca="false">SUMIF($A$2:$A$201,A50,$E$2:$E$201)</f>
        <v>8740.18</v>
      </c>
      <c r="L50" s="26" t="n">
        <f aca="false">SUMIF($A$2:$A$201,A50,$I$2:$I$201)</f>
        <v>2848.62</v>
      </c>
    </row>
    <row r="51" customFormat="false" ht="15.75" hidden="false" customHeight="true" outlineLevel="0" collapsed="false">
      <c r="A51" s="3" t="s">
        <v>76</v>
      </c>
      <c r="B51" s="3" t="s">
        <v>83</v>
      </c>
      <c r="C51" s="3" t="s">
        <v>55</v>
      </c>
      <c r="D51" s="3" t="s">
        <v>18</v>
      </c>
      <c r="E51" s="22" t="n">
        <v>775.45</v>
      </c>
      <c r="F51" s="3" t="n">
        <v>6</v>
      </c>
      <c r="G51" s="23" t="n">
        <v>0.1</v>
      </c>
      <c r="H51" s="24" t="n">
        <v>45457</v>
      </c>
      <c r="I51" s="22" t="n">
        <v>174.48</v>
      </c>
      <c r="J51" s="25" t="n">
        <f aca="true">NOW()</f>
        <v>46303.4329743217</v>
      </c>
      <c r="K51" s="26" t="n">
        <f aca="false">SUMIF($A$2:$A$201,A51,$E$2:$E$201)</f>
        <v>9760.8</v>
      </c>
      <c r="L51" s="26" t="n">
        <f aca="false">SUMIF($A$2:$A$201,A51,$I$2:$I$201)</f>
        <v>3442.48</v>
      </c>
    </row>
    <row r="52" customFormat="false" ht="15.75" hidden="false" customHeight="true" outlineLevel="0" collapsed="false">
      <c r="A52" s="3" t="s">
        <v>59</v>
      </c>
      <c r="B52" s="3" t="s">
        <v>66</v>
      </c>
      <c r="C52" s="3" t="s">
        <v>55</v>
      </c>
      <c r="D52" s="3" t="s">
        <v>18</v>
      </c>
      <c r="E52" s="22" t="n">
        <v>1021.47</v>
      </c>
      <c r="F52" s="3" t="n">
        <v>6</v>
      </c>
      <c r="G52" s="23" t="n">
        <v>0.05</v>
      </c>
      <c r="H52" s="24" t="n">
        <v>45461</v>
      </c>
      <c r="I52" s="22" t="n">
        <v>242.6</v>
      </c>
      <c r="J52" s="25" t="n">
        <f aca="true">NOW()</f>
        <v>46303.432974322</v>
      </c>
      <c r="K52" s="26" t="n">
        <f aca="false">SUMIF($A$2:$A$201,A52,$E$2:$E$201)</f>
        <v>9941.88</v>
      </c>
      <c r="L52" s="26" t="n">
        <f aca="false">SUMIF($A$2:$A$201,A52,$I$2:$I$201)</f>
        <v>3936.26</v>
      </c>
    </row>
    <row r="53" customFormat="false" ht="15.75" hidden="false" customHeight="true" outlineLevel="0" collapsed="false">
      <c r="A53" s="3" t="s">
        <v>90</v>
      </c>
      <c r="B53" s="3" t="s">
        <v>57</v>
      </c>
      <c r="C53" s="3" t="s">
        <v>55</v>
      </c>
      <c r="D53" s="3" t="s">
        <v>17</v>
      </c>
      <c r="E53" s="22" t="n">
        <v>1226.62</v>
      </c>
      <c r="F53" s="3" t="n">
        <v>7</v>
      </c>
      <c r="G53" s="23" t="n">
        <v>0.1</v>
      </c>
      <c r="H53" s="24" t="n">
        <v>45463</v>
      </c>
      <c r="I53" s="22" t="n">
        <v>551.98</v>
      </c>
      <c r="J53" s="25" t="n">
        <f aca="true">NOW()</f>
        <v>46303.4329743213</v>
      </c>
      <c r="K53" s="26" t="n">
        <f aca="false">SUMIF($A$2:$A$201,A53,$E$2:$E$201)</f>
        <v>11611.06</v>
      </c>
      <c r="L53" s="26" t="n">
        <f aca="false">SUMIF($A$2:$A$201,A53,$I$2:$I$201)</f>
        <v>4201.59</v>
      </c>
    </row>
    <row r="54" customFormat="false" ht="15.75" hidden="false" customHeight="true" outlineLevel="0" collapsed="false">
      <c r="A54" s="3" t="s">
        <v>56</v>
      </c>
      <c r="B54" s="3" t="s">
        <v>96</v>
      </c>
      <c r="C54" s="3" t="s">
        <v>55</v>
      </c>
      <c r="D54" s="3" t="s">
        <v>19</v>
      </c>
      <c r="E54" s="22" t="n">
        <v>1086.93</v>
      </c>
      <c r="F54" s="3" t="n">
        <v>2</v>
      </c>
      <c r="G54" s="23" t="n">
        <v>0</v>
      </c>
      <c r="H54" s="24" t="n">
        <v>45464</v>
      </c>
      <c r="I54" s="22" t="n">
        <v>380.43</v>
      </c>
      <c r="J54" s="25" t="n">
        <f aca="true">NOW()</f>
        <v>46303.4329743217</v>
      </c>
      <c r="K54" s="26" t="n">
        <f aca="false">SUMIF($A$2:$A$201,A54,$E$2:$E$201)</f>
        <v>7928.71</v>
      </c>
      <c r="L54" s="26" t="n">
        <f aca="false">SUMIF($A$2:$A$201,A54,$I$2:$I$201)</f>
        <v>2965.48</v>
      </c>
    </row>
    <row r="55" customFormat="false" ht="15.75" hidden="false" customHeight="true" outlineLevel="0" collapsed="false">
      <c r="A55" s="3" t="s">
        <v>97</v>
      </c>
      <c r="B55" s="3" t="s">
        <v>80</v>
      </c>
      <c r="C55" s="3" t="s">
        <v>48</v>
      </c>
      <c r="D55" s="3" t="s">
        <v>16</v>
      </c>
      <c r="E55" s="22" t="n">
        <v>942.9</v>
      </c>
      <c r="F55" s="3" t="n">
        <v>18</v>
      </c>
      <c r="G55" s="23" t="n">
        <v>0.1</v>
      </c>
      <c r="H55" s="24" t="n">
        <v>45466</v>
      </c>
      <c r="I55" s="22" t="n">
        <v>339.44</v>
      </c>
      <c r="J55" s="25" t="n">
        <f aca="true">NOW()</f>
        <v>46303.432974322</v>
      </c>
      <c r="K55" s="26" t="n">
        <f aca="false">SUMIF($A$2:$A$201,A55,$E$2:$E$201)</f>
        <v>6481.43</v>
      </c>
      <c r="L55" s="26" t="n">
        <f aca="false">SUMIF($A$2:$A$201,A55,$I$2:$I$201)</f>
        <v>2210.74</v>
      </c>
    </row>
    <row r="56" customFormat="false" ht="15.75" hidden="false" customHeight="true" outlineLevel="0" collapsed="false">
      <c r="A56" s="3" t="s">
        <v>65</v>
      </c>
      <c r="B56" s="3" t="s">
        <v>71</v>
      </c>
      <c r="C56" s="3" t="s">
        <v>58</v>
      </c>
      <c r="D56" s="3" t="s">
        <v>18</v>
      </c>
      <c r="E56" s="22" t="n">
        <v>818.8</v>
      </c>
      <c r="F56" s="3" t="n">
        <v>15</v>
      </c>
      <c r="G56" s="23" t="n">
        <v>0.15</v>
      </c>
      <c r="H56" s="24" t="n">
        <v>45468</v>
      </c>
      <c r="I56" s="22" t="n">
        <v>173.99</v>
      </c>
      <c r="J56" s="25" t="n">
        <f aca="true">NOW()</f>
        <v>46303.4329743213</v>
      </c>
      <c r="K56" s="26" t="n">
        <f aca="false">SUMIF($A$2:$A$201,A56,$E$2:$E$201)</f>
        <v>6505.2</v>
      </c>
      <c r="L56" s="26" t="n">
        <f aca="false">SUMIF($A$2:$A$201,A56,$I$2:$I$201)</f>
        <v>2052.54</v>
      </c>
    </row>
    <row r="57" customFormat="false" ht="15.75" hidden="false" customHeight="true" outlineLevel="0" collapsed="false">
      <c r="A57" s="3" t="s">
        <v>54</v>
      </c>
      <c r="B57" s="3" t="s">
        <v>50</v>
      </c>
      <c r="C57" s="3" t="s">
        <v>55</v>
      </c>
      <c r="D57" s="3" t="s">
        <v>19</v>
      </c>
      <c r="E57" s="22" t="n">
        <v>919.04</v>
      </c>
      <c r="F57" s="3" t="n">
        <v>10</v>
      </c>
      <c r="G57" s="23" t="n">
        <v>0.2</v>
      </c>
      <c r="H57" s="24" t="n">
        <v>45468</v>
      </c>
      <c r="I57" s="22" t="n">
        <v>257.33</v>
      </c>
      <c r="J57" s="25" t="n">
        <f aca="true">NOW()</f>
        <v>46303.4329743217</v>
      </c>
      <c r="K57" s="26" t="n">
        <f aca="false">SUMIF($A$2:$A$201,A57,$E$2:$E$201)</f>
        <v>6666.13</v>
      </c>
      <c r="L57" s="26" t="n">
        <f aca="false">SUMIF($A$2:$A$201,A57,$I$2:$I$201)</f>
        <v>1982.39</v>
      </c>
    </row>
    <row r="58" customFormat="false" ht="15.75" hidden="false" customHeight="true" outlineLevel="0" collapsed="false">
      <c r="A58" s="3" t="s">
        <v>56</v>
      </c>
      <c r="B58" s="3" t="s">
        <v>98</v>
      </c>
      <c r="C58" s="3" t="s">
        <v>67</v>
      </c>
      <c r="D58" s="3" t="s">
        <v>16</v>
      </c>
      <c r="E58" s="22" t="n">
        <v>973.26</v>
      </c>
      <c r="F58" s="3" t="n">
        <v>11</v>
      </c>
      <c r="G58" s="23" t="n">
        <v>0</v>
      </c>
      <c r="H58" s="24" t="n">
        <v>45470</v>
      </c>
      <c r="I58" s="22" t="n">
        <v>389.3</v>
      </c>
      <c r="J58" s="25" t="n">
        <f aca="true">NOW()</f>
        <v>46303.432974322</v>
      </c>
      <c r="K58" s="26" t="n">
        <f aca="false">SUMIF($A$2:$A$201,A58,$E$2:$E$201)</f>
        <v>7928.71</v>
      </c>
      <c r="L58" s="26" t="n">
        <f aca="false">SUMIF($A$2:$A$201,A58,$I$2:$I$201)</f>
        <v>2965.48</v>
      </c>
    </row>
    <row r="59" customFormat="false" ht="15.75" hidden="false" customHeight="true" outlineLevel="0" collapsed="false">
      <c r="A59" s="3" t="s">
        <v>73</v>
      </c>
      <c r="B59" s="3" t="s">
        <v>96</v>
      </c>
      <c r="C59" s="3" t="s">
        <v>58</v>
      </c>
      <c r="D59" s="3" t="s">
        <v>18</v>
      </c>
      <c r="E59" s="22" t="n">
        <v>741.61</v>
      </c>
      <c r="F59" s="3" t="n">
        <v>1</v>
      </c>
      <c r="G59" s="23" t="n">
        <v>0.2</v>
      </c>
      <c r="H59" s="24" t="n">
        <v>45471</v>
      </c>
      <c r="I59" s="22" t="n">
        <v>148.32</v>
      </c>
      <c r="J59" s="25" t="n">
        <f aca="true">NOW()</f>
        <v>46303.4329743213</v>
      </c>
      <c r="K59" s="26" t="n">
        <f aca="false">SUMIF($A$2:$A$201,A59,$E$2:$E$201)</f>
        <v>5779.05</v>
      </c>
      <c r="L59" s="26" t="n">
        <f aca="false">SUMIF($A$2:$A$201,A59,$I$2:$I$201)</f>
        <v>1611.66</v>
      </c>
    </row>
    <row r="60" customFormat="false" ht="15.75" hidden="false" customHeight="true" outlineLevel="0" collapsed="false">
      <c r="A60" s="3" t="s">
        <v>99</v>
      </c>
      <c r="B60" s="3" t="s">
        <v>71</v>
      </c>
      <c r="C60" s="3" t="s">
        <v>58</v>
      </c>
      <c r="D60" s="3" t="s">
        <v>16</v>
      </c>
      <c r="E60" s="22" t="n">
        <v>1248.82</v>
      </c>
      <c r="F60" s="3" t="n">
        <v>2</v>
      </c>
      <c r="G60" s="23" t="n">
        <v>0.1</v>
      </c>
      <c r="H60" s="24" t="n">
        <v>45473</v>
      </c>
      <c r="I60" s="22" t="n">
        <v>449.58</v>
      </c>
      <c r="J60" s="25" t="n">
        <f aca="true">NOW()</f>
        <v>46303.4329743217</v>
      </c>
      <c r="K60" s="26" t="n">
        <f aca="false">SUMIF($A$2:$A$201,A60,$E$2:$E$201)</f>
        <v>8490.18</v>
      </c>
      <c r="L60" s="26" t="n">
        <f aca="false">SUMIF($A$2:$A$201,A60,$I$2:$I$201)</f>
        <v>2652.75</v>
      </c>
    </row>
    <row r="61" customFormat="false" ht="15.75" hidden="false" customHeight="true" outlineLevel="0" collapsed="false">
      <c r="A61" s="3" t="s">
        <v>49</v>
      </c>
      <c r="B61" s="3" t="s">
        <v>91</v>
      </c>
      <c r="C61" s="3" t="s">
        <v>48</v>
      </c>
      <c r="D61" s="3" t="s">
        <v>17</v>
      </c>
      <c r="E61" s="22" t="n">
        <v>1360.36</v>
      </c>
      <c r="F61" s="3" t="n">
        <v>17</v>
      </c>
      <c r="G61" s="23" t="n">
        <v>0</v>
      </c>
      <c r="H61" s="24" t="n">
        <v>45473</v>
      </c>
      <c r="I61" s="22" t="n">
        <v>680.18</v>
      </c>
      <c r="J61" s="25" t="n">
        <f aca="true">NOW()</f>
        <v>46303.432974322</v>
      </c>
      <c r="K61" s="26" t="n">
        <f aca="false">SUMIF($A$2:$A$201,A61,$E$2:$E$201)</f>
        <v>8339</v>
      </c>
      <c r="L61" s="26" t="n">
        <f aca="false">SUMIF($A$2:$A$201,A61,$I$2:$I$201)</f>
        <v>2988.71</v>
      </c>
    </row>
    <row r="62" customFormat="false" ht="15.75" hidden="false" customHeight="true" outlineLevel="0" collapsed="false">
      <c r="A62" s="3" t="s">
        <v>89</v>
      </c>
      <c r="B62" s="3" t="s">
        <v>64</v>
      </c>
      <c r="C62" s="3" t="s">
        <v>53</v>
      </c>
      <c r="D62" s="3" t="s">
        <v>16</v>
      </c>
      <c r="E62" s="22" t="n">
        <v>1383.3</v>
      </c>
      <c r="F62" s="3" t="n">
        <v>8</v>
      </c>
      <c r="G62" s="23" t="n">
        <v>0.1</v>
      </c>
      <c r="H62" s="24" t="n">
        <v>45478</v>
      </c>
      <c r="I62" s="22" t="n">
        <v>497.99</v>
      </c>
      <c r="J62" s="25" t="n">
        <f aca="true">NOW()</f>
        <v>46303.4329743213</v>
      </c>
      <c r="K62" s="26" t="n">
        <f aca="false">SUMIF($A$2:$A$201,A62,$E$2:$E$201)</f>
        <v>8740.18</v>
      </c>
      <c r="L62" s="26" t="n">
        <f aca="false">SUMIF($A$2:$A$201,A62,$I$2:$I$201)</f>
        <v>2848.62</v>
      </c>
    </row>
    <row r="63" customFormat="false" ht="15.75" hidden="false" customHeight="true" outlineLevel="0" collapsed="false">
      <c r="A63" s="3" t="s">
        <v>68</v>
      </c>
      <c r="B63" s="3" t="s">
        <v>87</v>
      </c>
      <c r="C63" s="3" t="s">
        <v>67</v>
      </c>
      <c r="D63" s="3" t="s">
        <v>20</v>
      </c>
      <c r="E63" s="22" t="n">
        <v>488.99</v>
      </c>
      <c r="F63" s="3" t="n">
        <v>9</v>
      </c>
      <c r="G63" s="23" t="n">
        <v>0</v>
      </c>
      <c r="H63" s="24" t="n">
        <v>45479</v>
      </c>
      <c r="I63" s="22" t="n">
        <v>220.05</v>
      </c>
      <c r="J63" s="25" t="n">
        <f aca="true">NOW()</f>
        <v>46303.4329743217</v>
      </c>
      <c r="K63" s="26" t="n">
        <f aca="false">SUMIF($A$2:$A$201,A63,$E$2:$E$201)</f>
        <v>4259.22</v>
      </c>
      <c r="L63" s="26" t="n">
        <f aca="false">SUMIF($A$2:$A$201,A63,$I$2:$I$201)</f>
        <v>1529.32</v>
      </c>
    </row>
    <row r="64" customFormat="false" ht="15.75" hidden="false" customHeight="true" outlineLevel="0" collapsed="false">
      <c r="A64" s="3" t="s">
        <v>63</v>
      </c>
      <c r="B64" s="3" t="s">
        <v>64</v>
      </c>
      <c r="C64" s="3" t="s">
        <v>53</v>
      </c>
      <c r="D64" s="3" t="s">
        <v>19</v>
      </c>
      <c r="E64" s="22" t="n">
        <v>933.71</v>
      </c>
      <c r="F64" s="3" t="n">
        <v>17</v>
      </c>
      <c r="G64" s="23" t="n">
        <v>0.1</v>
      </c>
      <c r="H64" s="24" t="n">
        <v>45481</v>
      </c>
      <c r="I64" s="22" t="n">
        <v>294.12</v>
      </c>
      <c r="J64" s="25" t="n">
        <f aca="true">NOW()</f>
        <v>46303.432974322</v>
      </c>
      <c r="K64" s="26" t="n">
        <f aca="false">SUMIF($A$2:$A$201,A64,$E$2:$E$201)</f>
        <v>9371.81</v>
      </c>
      <c r="L64" s="26" t="n">
        <f aca="false">SUMIF($A$2:$A$201,A64,$I$2:$I$201)</f>
        <v>2922.02</v>
      </c>
    </row>
    <row r="65" customFormat="false" ht="15.75" hidden="false" customHeight="true" outlineLevel="0" collapsed="false">
      <c r="A65" s="3" t="s">
        <v>99</v>
      </c>
      <c r="B65" s="3" t="s">
        <v>47</v>
      </c>
      <c r="C65" s="3" t="s">
        <v>48</v>
      </c>
      <c r="D65" s="3" t="s">
        <v>18</v>
      </c>
      <c r="E65" s="22" t="n">
        <v>1005.53</v>
      </c>
      <c r="F65" s="3" t="n">
        <v>17</v>
      </c>
      <c r="G65" s="23" t="n">
        <v>0.2</v>
      </c>
      <c r="H65" s="24" t="n">
        <v>45481</v>
      </c>
      <c r="I65" s="22" t="n">
        <v>201.11</v>
      </c>
      <c r="J65" s="25" t="n">
        <f aca="true">NOW()</f>
        <v>46303.4329743213</v>
      </c>
      <c r="K65" s="26" t="n">
        <f aca="false">SUMIF($A$2:$A$201,A65,$E$2:$E$201)</f>
        <v>8490.18</v>
      </c>
      <c r="L65" s="26" t="n">
        <f aca="false">SUMIF($A$2:$A$201,A65,$I$2:$I$201)</f>
        <v>2652.75</v>
      </c>
    </row>
    <row r="66" customFormat="false" ht="15.75" hidden="false" customHeight="true" outlineLevel="0" collapsed="false">
      <c r="A66" s="3" t="s">
        <v>73</v>
      </c>
      <c r="B66" s="3" t="s">
        <v>93</v>
      </c>
      <c r="C66" s="3" t="s">
        <v>55</v>
      </c>
      <c r="D66" s="3" t="s">
        <v>18</v>
      </c>
      <c r="E66" s="22" t="n">
        <v>1100.1</v>
      </c>
      <c r="F66" s="3" t="n">
        <v>5</v>
      </c>
      <c r="G66" s="23" t="n">
        <v>0.05</v>
      </c>
      <c r="H66" s="24" t="n">
        <v>45482</v>
      </c>
      <c r="I66" s="22" t="n">
        <v>261.27</v>
      </c>
      <c r="J66" s="25" t="n">
        <f aca="true">NOW()</f>
        <v>46303.4329743217</v>
      </c>
      <c r="K66" s="26" t="n">
        <f aca="false">SUMIF($A$2:$A$201,A66,$E$2:$E$201)</f>
        <v>5779.05</v>
      </c>
      <c r="L66" s="26" t="n">
        <f aca="false">SUMIF($A$2:$A$201,A66,$I$2:$I$201)</f>
        <v>1611.66</v>
      </c>
    </row>
    <row r="67" customFormat="false" ht="15.75" hidden="false" customHeight="true" outlineLevel="0" collapsed="false">
      <c r="A67" s="3" t="s">
        <v>99</v>
      </c>
      <c r="B67" s="3" t="s">
        <v>57</v>
      </c>
      <c r="C67" s="3" t="s">
        <v>58</v>
      </c>
      <c r="D67" s="3" t="s">
        <v>19</v>
      </c>
      <c r="E67" s="22" t="n">
        <v>1034.7</v>
      </c>
      <c r="F67" s="3" t="n">
        <v>15</v>
      </c>
      <c r="G67" s="23" t="n">
        <v>0.15</v>
      </c>
      <c r="H67" s="24" t="n">
        <v>45487</v>
      </c>
      <c r="I67" s="22" t="n">
        <v>307.82</v>
      </c>
      <c r="J67" s="25" t="n">
        <f aca="true">NOW()</f>
        <v>46303.432974322</v>
      </c>
      <c r="K67" s="26" t="n">
        <f aca="false">SUMIF($A$2:$A$201,A67,$E$2:$E$201)</f>
        <v>8490.18</v>
      </c>
      <c r="L67" s="26" t="n">
        <f aca="false">SUMIF($A$2:$A$201,A67,$I$2:$I$201)</f>
        <v>2652.75</v>
      </c>
    </row>
    <row r="68" customFormat="false" ht="15.75" hidden="false" customHeight="true" outlineLevel="0" collapsed="false">
      <c r="A68" s="3" t="s">
        <v>97</v>
      </c>
      <c r="B68" s="3" t="s">
        <v>64</v>
      </c>
      <c r="C68" s="3" t="s">
        <v>55</v>
      </c>
      <c r="D68" s="3" t="s">
        <v>16</v>
      </c>
      <c r="E68" s="22" t="n">
        <v>876.44</v>
      </c>
      <c r="F68" s="3" t="n">
        <v>12</v>
      </c>
      <c r="G68" s="23" t="n">
        <v>0.05</v>
      </c>
      <c r="H68" s="24" t="n">
        <v>45488</v>
      </c>
      <c r="I68" s="22" t="n">
        <v>333.05</v>
      </c>
      <c r="J68" s="25" t="n">
        <f aca="true">NOW()</f>
        <v>46303.4329743213</v>
      </c>
      <c r="K68" s="26" t="n">
        <f aca="false">SUMIF($A$2:$A$201,A68,$E$2:$E$201)</f>
        <v>6481.43</v>
      </c>
      <c r="L68" s="26" t="n">
        <f aca="false">SUMIF($A$2:$A$201,A68,$I$2:$I$201)</f>
        <v>2210.74</v>
      </c>
    </row>
    <row r="69" customFormat="false" ht="15.75" hidden="false" customHeight="true" outlineLevel="0" collapsed="false">
      <c r="A69" s="3" t="s">
        <v>100</v>
      </c>
      <c r="B69" s="3" t="s">
        <v>87</v>
      </c>
      <c r="C69" s="3" t="s">
        <v>48</v>
      </c>
      <c r="D69" s="3" t="s">
        <v>19</v>
      </c>
      <c r="E69" s="22" t="n">
        <v>1371.34</v>
      </c>
      <c r="F69" s="3" t="n">
        <v>5</v>
      </c>
      <c r="G69" s="23" t="n">
        <v>0.05</v>
      </c>
      <c r="H69" s="24" t="n">
        <v>45488</v>
      </c>
      <c r="I69" s="22" t="n">
        <v>455.97</v>
      </c>
      <c r="J69" s="25" t="n">
        <f aca="true">NOW()</f>
        <v>46303.4329743217</v>
      </c>
      <c r="K69" s="26" t="n">
        <f aca="false">SUMIF($A$2:$A$201,A69,$E$2:$E$201)</f>
        <v>4413.71</v>
      </c>
      <c r="L69" s="26" t="n">
        <f aca="false">SUMIF($A$2:$A$201,A69,$I$2:$I$201)</f>
        <v>1664.79</v>
      </c>
    </row>
    <row r="70" customFormat="false" ht="15.75" hidden="false" customHeight="true" outlineLevel="0" collapsed="false">
      <c r="A70" s="3" t="s">
        <v>89</v>
      </c>
      <c r="B70" s="3" t="s">
        <v>79</v>
      </c>
      <c r="C70" s="3" t="s">
        <v>58</v>
      </c>
      <c r="D70" s="3" t="s">
        <v>18</v>
      </c>
      <c r="E70" s="22" t="n">
        <v>1020.26</v>
      </c>
      <c r="F70" s="3" t="n">
        <v>11</v>
      </c>
      <c r="G70" s="23" t="n">
        <v>0.05</v>
      </c>
      <c r="H70" s="24" t="n">
        <v>45494</v>
      </c>
      <c r="I70" s="22" t="n">
        <v>242.31</v>
      </c>
      <c r="J70" s="25" t="n">
        <f aca="true">NOW()</f>
        <v>46303.4329743221</v>
      </c>
      <c r="K70" s="26" t="n">
        <f aca="false">SUMIF($A$2:$A$201,A70,$E$2:$E$201)</f>
        <v>8740.18</v>
      </c>
      <c r="L70" s="26" t="n">
        <f aca="false">SUMIF($A$2:$A$201,A70,$I$2:$I$201)</f>
        <v>2848.62</v>
      </c>
    </row>
    <row r="71" customFormat="false" ht="15.75" hidden="false" customHeight="true" outlineLevel="0" collapsed="false">
      <c r="A71" s="3" t="s">
        <v>76</v>
      </c>
      <c r="B71" s="3" t="s">
        <v>47</v>
      </c>
      <c r="C71" s="3" t="s">
        <v>67</v>
      </c>
      <c r="D71" s="3" t="s">
        <v>20</v>
      </c>
      <c r="E71" s="22" t="n">
        <v>804.81</v>
      </c>
      <c r="F71" s="3" t="n">
        <v>1</v>
      </c>
      <c r="G71" s="23" t="n">
        <v>0.05</v>
      </c>
      <c r="H71" s="24" t="n">
        <v>45502</v>
      </c>
      <c r="I71" s="22" t="n">
        <v>344.06</v>
      </c>
      <c r="J71" s="25" t="n">
        <f aca="true">NOW()</f>
        <v>46303.4329743213</v>
      </c>
      <c r="K71" s="26" t="n">
        <f aca="false">SUMIF($A$2:$A$201,A71,$E$2:$E$201)</f>
        <v>9760.8</v>
      </c>
      <c r="L71" s="26" t="n">
        <f aca="false">SUMIF($A$2:$A$201,A71,$I$2:$I$201)</f>
        <v>3442.48</v>
      </c>
    </row>
    <row r="72" customFormat="false" ht="15.75" hidden="false" customHeight="true" outlineLevel="0" collapsed="false">
      <c r="A72" s="3" t="s">
        <v>56</v>
      </c>
      <c r="B72" s="3" t="s">
        <v>87</v>
      </c>
      <c r="C72" s="3" t="s">
        <v>67</v>
      </c>
      <c r="D72" s="3" t="s">
        <v>18</v>
      </c>
      <c r="E72" s="22" t="n">
        <v>608.66</v>
      </c>
      <c r="F72" s="3" t="n">
        <v>1</v>
      </c>
      <c r="G72" s="23" t="n">
        <v>0.05</v>
      </c>
      <c r="H72" s="24" t="n">
        <v>45503</v>
      </c>
      <c r="I72" s="22" t="n">
        <v>144.56</v>
      </c>
      <c r="J72" s="25" t="n">
        <f aca="true">NOW()</f>
        <v>46303.4329743217</v>
      </c>
      <c r="K72" s="26" t="n">
        <f aca="false">SUMIF($A$2:$A$201,A72,$E$2:$E$201)</f>
        <v>7928.71</v>
      </c>
      <c r="L72" s="26" t="n">
        <f aca="false">SUMIF($A$2:$A$201,A72,$I$2:$I$201)</f>
        <v>2965.48</v>
      </c>
    </row>
    <row r="73" customFormat="false" ht="15.75" hidden="false" customHeight="true" outlineLevel="0" collapsed="false">
      <c r="A73" s="3" t="s">
        <v>100</v>
      </c>
      <c r="B73" s="3" t="s">
        <v>101</v>
      </c>
      <c r="C73" s="3" t="s">
        <v>55</v>
      </c>
      <c r="D73" s="3" t="s">
        <v>20</v>
      </c>
      <c r="E73" s="22" t="n">
        <v>981.2</v>
      </c>
      <c r="F73" s="3" t="n">
        <v>19</v>
      </c>
      <c r="G73" s="23" t="n">
        <v>0</v>
      </c>
      <c r="H73" s="24" t="n">
        <v>45504</v>
      </c>
      <c r="I73" s="22" t="n">
        <v>441.54</v>
      </c>
      <c r="J73" s="25" t="n">
        <f aca="true">NOW()</f>
        <v>46303.4329743221</v>
      </c>
      <c r="K73" s="26" t="n">
        <f aca="false">SUMIF($A$2:$A$201,A73,$E$2:$E$201)</f>
        <v>4413.71</v>
      </c>
      <c r="L73" s="26" t="n">
        <f aca="false">SUMIF($A$2:$A$201,A73,$I$2:$I$201)</f>
        <v>1664.79</v>
      </c>
    </row>
    <row r="74" customFormat="false" ht="15.75" hidden="false" customHeight="true" outlineLevel="0" collapsed="false">
      <c r="A74" s="3" t="s">
        <v>102</v>
      </c>
      <c r="B74" s="3" t="s">
        <v>87</v>
      </c>
      <c r="C74" s="3" t="s">
        <v>53</v>
      </c>
      <c r="D74" s="3" t="s">
        <v>18</v>
      </c>
      <c r="E74" s="22" t="n">
        <v>539.77</v>
      </c>
      <c r="F74" s="3" t="n">
        <v>10</v>
      </c>
      <c r="G74" s="23" t="n">
        <v>0.15</v>
      </c>
      <c r="H74" s="24" t="n">
        <v>45509</v>
      </c>
      <c r="I74" s="22" t="n">
        <v>114.7</v>
      </c>
      <c r="J74" s="25" t="n">
        <f aca="true">NOW()</f>
        <v>46303.4329743213</v>
      </c>
      <c r="K74" s="26" t="n">
        <f aca="false">SUMIF($A$2:$A$201,A74,$E$2:$E$201)</f>
        <v>7583.13</v>
      </c>
      <c r="L74" s="26" t="n">
        <f aca="false">SUMIF($A$2:$A$201,A74,$I$2:$I$201)</f>
        <v>2492.1</v>
      </c>
    </row>
    <row r="75" customFormat="false" ht="15.75" hidden="false" customHeight="true" outlineLevel="0" collapsed="false">
      <c r="A75" s="3" t="s">
        <v>49</v>
      </c>
      <c r="B75" s="3" t="s">
        <v>103</v>
      </c>
      <c r="C75" s="3" t="s">
        <v>55</v>
      </c>
      <c r="D75" s="3" t="s">
        <v>16</v>
      </c>
      <c r="E75" s="22" t="n">
        <v>804.45</v>
      </c>
      <c r="F75" s="3" t="n">
        <v>5</v>
      </c>
      <c r="G75" s="23" t="n">
        <v>0.2</v>
      </c>
      <c r="H75" s="24" t="n">
        <v>45509</v>
      </c>
      <c r="I75" s="22" t="n">
        <v>257.42</v>
      </c>
      <c r="J75" s="25" t="n">
        <f aca="true">NOW()</f>
        <v>46303.4329743217</v>
      </c>
      <c r="K75" s="26" t="n">
        <f aca="false">SUMIF($A$2:$A$201,A75,$E$2:$E$201)</f>
        <v>8339</v>
      </c>
      <c r="L75" s="26" t="n">
        <f aca="false">SUMIF($A$2:$A$201,A75,$I$2:$I$201)</f>
        <v>2988.71</v>
      </c>
    </row>
    <row r="76" customFormat="false" ht="15.75" hidden="false" customHeight="true" outlineLevel="0" collapsed="false">
      <c r="A76" s="3" t="s">
        <v>102</v>
      </c>
      <c r="B76" s="3" t="s">
        <v>71</v>
      </c>
      <c r="C76" s="3" t="s">
        <v>48</v>
      </c>
      <c r="D76" s="3" t="s">
        <v>18</v>
      </c>
      <c r="E76" s="22" t="n">
        <v>1526.6</v>
      </c>
      <c r="F76" s="3" t="n">
        <v>13</v>
      </c>
      <c r="G76" s="23" t="n">
        <v>0.2</v>
      </c>
      <c r="H76" s="24" t="n">
        <v>45512</v>
      </c>
      <c r="I76" s="22" t="n">
        <v>305.32</v>
      </c>
      <c r="J76" s="25" t="n">
        <f aca="true">NOW()</f>
        <v>46303.4329743221</v>
      </c>
      <c r="K76" s="26" t="n">
        <f aca="false">SUMIF($A$2:$A$201,A76,$E$2:$E$201)</f>
        <v>7583.13</v>
      </c>
      <c r="L76" s="26" t="n">
        <f aca="false">SUMIF($A$2:$A$201,A76,$I$2:$I$201)</f>
        <v>2492.1</v>
      </c>
    </row>
    <row r="77" customFormat="false" ht="15.75" hidden="false" customHeight="true" outlineLevel="0" collapsed="false">
      <c r="A77" s="3" t="s">
        <v>49</v>
      </c>
      <c r="B77" s="3" t="s">
        <v>62</v>
      </c>
      <c r="C77" s="3" t="s">
        <v>48</v>
      </c>
      <c r="D77" s="3" t="s">
        <v>18</v>
      </c>
      <c r="E77" s="22" t="n">
        <v>1215.26</v>
      </c>
      <c r="F77" s="3" t="n">
        <v>5</v>
      </c>
      <c r="G77" s="23" t="n">
        <v>0.15</v>
      </c>
      <c r="H77" s="24" t="n">
        <v>45513</v>
      </c>
      <c r="I77" s="22" t="n">
        <v>258.24</v>
      </c>
      <c r="J77" s="25" t="n">
        <f aca="true">NOW()</f>
        <v>46303.4329743213</v>
      </c>
      <c r="K77" s="26" t="n">
        <f aca="false">SUMIF($A$2:$A$201,A77,$E$2:$E$201)</f>
        <v>8339</v>
      </c>
      <c r="L77" s="26" t="n">
        <f aca="false">SUMIF($A$2:$A$201,A77,$I$2:$I$201)</f>
        <v>2988.71</v>
      </c>
    </row>
    <row r="78" customFormat="false" ht="15.75" hidden="false" customHeight="true" outlineLevel="0" collapsed="false">
      <c r="A78" s="3" t="s">
        <v>54</v>
      </c>
      <c r="B78" s="3" t="s">
        <v>85</v>
      </c>
      <c r="C78" s="3" t="s">
        <v>67</v>
      </c>
      <c r="D78" s="3" t="s">
        <v>19</v>
      </c>
      <c r="E78" s="22" t="n">
        <v>1261.34</v>
      </c>
      <c r="F78" s="3" t="n">
        <v>3</v>
      </c>
      <c r="G78" s="23" t="n">
        <v>0</v>
      </c>
      <c r="H78" s="24" t="n">
        <v>45519</v>
      </c>
      <c r="I78" s="22" t="n">
        <v>441.47</v>
      </c>
      <c r="J78" s="25" t="n">
        <f aca="true">NOW()</f>
        <v>46303.4329743218</v>
      </c>
      <c r="K78" s="26" t="n">
        <f aca="false">SUMIF($A$2:$A$201,A78,$E$2:$E$201)</f>
        <v>6666.13</v>
      </c>
      <c r="L78" s="26" t="n">
        <f aca="false">SUMIF($A$2:$A$201,A78,$I$2:$I$201)</f>
        <v>1982.39</v>
      </c>
    </row>
    <row r="79" customFormat="false" ht="15.75" hidden="false" customHeight="true" outlineLevel="0" collapsed="false">
      <c r="A79" s="3" t="s">
        <v>104</v>
      </c>
      <c r="B79" s="3" t="s">
        <v>77</v>
      </c>
      <c r="C79" s="3" t="s">
        <v>58</v>
      </c>
      <c r="D79" s="3" t="s">
        <v>19</v>
      </c>
      <c r="E79" s="22" t="n">
        <v>518.07</v>
      </c>
      <c r="F79" s="3" t="n">
        <v>7</v>
      </c>
      <c r="G79" s="23" t="n">
        <v>0.05</v>
      </c>
      <c r="H79" s="24" t="n">
        <v>45522</v>
      </c>
      <c r="I79" s="22" t="n">
        <v>172.26</v>
      </c>
      <c r="J79" s="25" t="n">
        <f aca="true">NOW()</f>
        <v>46303.4329743221</v>
      </c>
      <c r="K79" s="26" t="n">
        <f aca="false">SUMIF($A$2:$A$201,A79,$E$2:$E$201)</f>
        <v>7813.59</v>
      </c>
      <c r="L79" s="26" t="n">
        <f aca="false">SUMIF($A$2:$A$201,A79,$I$2:$I$201)</f>
        <v>3211.82</v>
      </c>
    </row>
    <row r="80" customFormat="false" ht="15.75" hidden="false" customHeight="true" outlineLevel="0" collapsed="false">
      <c r="A80" s="3" t="s">
        <v>63</v>
      </c>
      <c r="B80" s="3" t="s">
        <v>62</v>
      </c>
      <c r="C80" s="3" t="s">
        <v>48</v>
      </c>
      <c r="D80" s="3" t="s">
        <v>20</v>
      </c>
      <c r="E80" s="22" t="n">
        <v>1111.34</v>
      </c>
      <c r="F80" s="3" t="n">
        <v>1</v>
      </c>
      <c r="G80" s="23" t="n">
        <v>0</v>
      </c>
      <c r="H80" s="24" t="n">
        <v>45523</v>
      </c>
      <c r="I80" s="22" t="n">
        <v>500.1</v>
      </c>
      <c r="J80" s="25" t="n">
        <f aca="true">NOW()</f>
        <v>46303.4329743213</v>
      </c>
      <c r="K80" s="26" t="n">
        <f aca="false">SUMIF($A$2:$A$201,A80,$E$2:$E$201)</f>
        <v>9371.81</v>
      </c>
      <c r="L80" s="26" t="n">
        <f aca="false">SUMIF($A$2:$A$201,A80,$I$2:$I$201)</f>
        <v>2922.02</v>
      </c>
    </row>
    <row r="81" customFormat="false" ht="15.75" hidden="false" customHeight="true" outlineLevel="0" collapsed="false">
      <c r="A81" s="3" t="s">
        <v>56</v>
      </c>
      <c r="B81" s="3" t="s">
        <v>64</v>
      </c>
      <c r="C81" s="3" t="s">
        <v>53</v>
      </c>
      <c r="D81" s="3" t="s">
        <v>17</v>
      </c>
      <c r="E81" s="22" t="n">
        <v>1291.47</v>
      </c>
      <c r="F81" s="3" t="n">
        <v>18</v>
      </c>
      <c r="G81" s="23" t="n">
        <v>0.1</v>
      </c>
      <c r="H81" s="24" t="n">
        <v>45526</v>
      </c>
      <c r="I81" s="22" t="n">
        <v>581.16</v>
      </c>
      <c r="J81" s="25" t="n">
        <f aca="true">NOW()</f>
        <v>46303.4329743218</v>
      </c>
      <c r="K81" s="26" t="n">
        <f aca="false">SUMIF($A$2:$A$201,A81,$E$2:$E$201)</f>
        <v>7928.71</v>
      </c>
      <c r="L81" s="26" t="n">
        <f aca="false">SUMIF($A$2:$A$201,A81,$I$2:$I$201)</f>
        <v>2965.48</v>
      </c>
    </row>
    <row r="82" customFormat="false" ht="15.75" hidden="false" customHeight="true" outlineLevel="0" collapsed="false">
      <c r="A82" s="3" t="s">
        <v>59</v>
      </c>
      <c r="B82" s="3" t="s">
        <v>87</v>
      </c>
      <c r="C82" s="3" t="s">
        <v>58</v>
      </c>
      <c r="D82" s="3" t="s">
        <v>16</v>
      </c>
      <c r="E82" s="22" t="n">
        <v>679.71</v>
      </c>
      <c r="F82" s="3" t="n">
        <v>19</v>
      </c>
      <c r="G82" s="23" t="n">
        <v>0</v>
      </c>
      <c r="H82" s="24" t="n">
        <v>45534</v>
      </c>
      <c r="I82" s="22" t="n">
        <v>271.88</v>
      </c>
      <c r="J82" s="25" t="n">
        <f aca="true">NOW()</f>
        <v>46303.4329743221</v>
      </c>
      <c r="K82" s="26" t="n">
        <f aca="false">SUMIF($A$2:$A$201,A82,$E$2:$E$201)</f>
        <v>9941.88</v>
      </c>
      <c r="L82" s="26" t="n">
        <f aca="false">SUMIF($A$2:$A$201,A82,$I$2:$I$201)</f>
        <v>3936.26</v>
      </c>
    </row>
    <row r="83" customFormat="false" ht="15.75" hidden="false" customHeight="true" outlineLevel="0" collapsed="false">
      <c r="A83" s="3" t="s">
        <v>100</v>
      </c>
      <c r="B83" s="3" t="s">
        <v>66</v>
      </c>
      <c r="C83" s="3" t="s">
        <v>53</v>
      </c>
      <c r="D83" s="3" t="s">
        <v>19</v>
      </c>
      <c r="E83" s="22" t="n">
        <v>1143.69</v>
      </c>
      <c r="F83" s="3" t="n">
        <v>17</v>
      </c>
      <c r="G83" s="23" t="n">
        <v>0</v>
      </c>
      <c r="H83" s="24" t="n">
        <v>45534</v>
      </c>
      <c r="I83" s="22" t="n">
        <v>400.29</v>
      </c>
      <c r="J83" s="25" t="n">
        <f aca="true">NOW()</f>
        <v>46303.4329743213</v>
      </c>
      <c r="K83" s="26" t="n">
        <f aca="false">SUMIF($A$2:$A$201,A83,$E$2:$E$201)</f>
        <v>4413.71</v>
      </c>
      <c r="L83" s="26" t="n">
        <f aca="false">SUMIF($A$2:$A$201,A83,$I$2:$I$201)</f>
        <v>1664.79</v>
      </c>
    </row>
    <row r="84" customFormat="false" ht="15.75" hidden="false" customHeight="true" outlineLevel="0" collapsed="false">
      <c r="A84" s="3" t="s">
        <v>84</v>
      </c>
      <c r="B84" s="3" t="s">
        <v>82</v>
      </c>
      <c r="C84" s="3" t="s">
        <v>67</v>
      </c>
      <c r="D84" s="3" t="s">
        <v>18</v>
      </c>
      <c r="E84" s="22" t="n">
        <v>790.08</v>
      </c>
      <c r="F84" s="3" t="n">
        <v>7</v>
      </c>
      <c r="G84" s="23" t="n">
        <v>0.1</v>
      </c>
      <c r="H84" s="24" t="n">
        <v>45536</v>
      </c>
      <c r="I84" s="22" t="n">
        <v>177.77</v>
      </c>
      <c r="J84" s="25" t="n">
        <f aca="true">NOW()</f>
        <v>46303.4329743218</v>
      </c>
      <c r="K84" s="26" t="n">
        <f aca="false">SUMIF($A$2:$A$201,A84,$E$2:$E$201)</f>
        <v>10293.87</v>
      </c>
      <c r="L84" s="26" t="n">
        <f aca="false">SUMIF($A$2:$A$201,A84,$I$2:$I$201)</f>
        <v>3541.02</v>
      </c>
    </row>
    <row r="85" customFormat="false" ht="15.75" hidden="false" customHeight="true" outlineLevel="0" collapsed="false">
      <c r="A85" s="3" t="s">
        <v>54</v>
      </c>
      <c r="B85" s="3" t="s">
        <v>80</v>
      </c>
      <c r="C85" s="3" t="s">
        <v>67</v>
      </c>
      <c r="D85" s="3" t="s">
        <v>16</v>
      </c>
      <c r="E85" s="22" t="n">
        <v>1070.68</v>
      </c>
      <c r="F85" s="3" t="n">
        <v>7</v>
      </c>
      <c r="G85" s="23" t="n">
        <v>0.05</v>
      </c>
      <c r="H85" s="24" t="n">
        <v>45536</v>
      </c>
      <c r="I85" s="22" t="n">
        <v>406.86</v>
      </c>
      <c r="J85" s="25" t="n">
        <f aca="true">NOW()</f>
        <v>46303.4329743221</v>
      </c>
      <c r="K85" s="26" t="n">
        <f aca="false">SUMIF($A$2:$A$201,A85,$E$2:$E$201)</f>
        <v>6666.13</v>
      </c>
      <c r="L85" s="26" t="n">
        <f aca="false">SUMIF($A$2:$A$201,A85,$I$2:$I$201)</f>
        <v>1982.39</v>
      </c>
    </row>
    <row r="86" customFormat="false" ht="15.75" hidden="false" customHeight="true" outlineLevel="0" collapsed="false">
      <c r="A86" s="3" t="s">
        <v>90</v>
      </c>
      <c r="B86" s="3" t="s">
        <v>69</v>
      </c>
      <c r="C86" s="3" t="s">
        <v>48</v>
      </c>
      <c r="D86" s="3" t="s">
        <v>17</v>
      </c>
      <c r="E86" s="22" t="n">
        <v>1168.89</v>
      </c>
      <c r="F86" s="3" t="n">
        <v>4</v>
      </c>
      <c r="G86" s="23" t="n">
        <v>0.1</v>
      </c>
      <c r="H86" s="24" t="n">
        <v>45544</v>
      </c>
      <c r="I86" s="22" t="n">
        <v>526</v>
      </c>
      <c r="J86" s="25" t="n">
        <f aca="true">NOW()</f>
        <v>46303.4329743213</v>
      </c>
      <c r="K86" s="26" t="n">
        <f aca="false">SUMIF($A$2:$A$201,A86,$E$2:$E$201)</f>
        <v>11611.06</v>
      </c>
      <c r="L86" s="26" t="n">
        <f aca="false">SUMIF($A$2:$A$201,A86,$I$2:$I$201)</f>
        <v>4201.59</v>
      </c>
    </row>
    <row r="87" customFormat="false" ht="15.75" hidden="false" customHeight="true" outlineLevel="0" collapsed="false">
      <c r="A87" s="3" t="s">
        <v>99</v>
      </c>
      <c r="B87" s="3" t="s">
        <v>47</v>
      </c>
      <c r="C87" s="3" t="s">
        <v>55</v>
      </c>
      <c r="D87" s="3" t="s">
        <v>18</v>
      </c>
      <c r="E87" s="22" t="n">
        <v>1335.87</v>
      </c>
      <c r="F87" s="3" t="n">
        <v>17</v>
      </c>
      <c r="G87" s="23" t="n">
        <v>0</v>
      </c>
      <c r="H87" s="24" t="n">
        <v>45544</v>
      </c>
      <c r="I87" s="22" t="n">
        <v>333.97</v>
      </c>
      <c r="J87" s="25" t="n">
        <f aca="true">NOW()</f>
        <v>46303.4329743218</v>
      </c>
      <c r="K87" s="26" t="n">
        <f aca="false">SUMIF($A$2:$A$201,A87,$E$2:$E$201)</f>
        <v>8490.18</v>
      </c>
      <c r="L87" s="26" t="n">
        <f aca="false">SUMIF($A$2:$A$201,A87,$I$2:$I$201)</f>
        <v>2652.75</v>
      </c>
    </row>
    <row r="88" customFormat="false" ht="15.75" hidden="false" customHeight="true" outlineLevel="0" collapsed="false">
      <c r="A88" s="3" t="s">
        <v>72</v>
      </c>
      <c r="B88" s="3" t="s">
        <v>87</v>
      </c>
      <c r="C88" s="3" t="s">
        <v>53</v>
      </c>
      <c r="D88" s="3" t="s">
        <v>19</v>
      </c>
      <c r="E88" s="22" t="n">
        <v>873.7</v>
      </c>
      <c r="F88" s="3" t="n">
        <v>9</v>
      </c>
      <c r="G88" s="23" t="n">
        <v>0</v>
      </c>
      <c r="H88" s="24" t="n">
        <v>45546</v>
      </c>
      <c r="I88" s="22" t="n">
        <v>305.8</v>
      </c>
      <c r="J88" s="25" t="n">
        <f aca="true">NOW()</f>
        <v>46303.4329743221</v>
      </c>
      <c r="K88" s="26" t="n">
        <f aca="false">SUMIF($A$2:$A$201,A88,$E$2:$E$201)</f>
        <v>5913.68</v>
      </c>
      <c r="L88" s="26" t="n">
        <f aca="false">SUMIF($A$2:$A$201,A88,$I$2:$I$201)</f>
        <v>2198.62</v>
      </c>
    </row>
    <row r="89" customFormat="false" ht="15.75" hidden="false" customHeight="true" outlineLevel="0" collapsed="false">
      <c r="A89" s="3" t="s">
        <v>104</v>
      </c>
      <c r="B89" s="3" t="s">
        <v>96</v>
      </c>
      <c r="C89" s="3" t="s">
        <v>48</v>
      </c>
      <c r="D89" s="3" t="s">
        <v>20</v>
      </c>
      <c r="E89" s="22" t="n">
        <v>1443.98</v>
      </c>
      <c r="F89" s="3" t="n">
        <v>19</v>
      </c>
      <c r="G89" s="23" t="n">
        <v>0</v>
      </c>
      <c r="H89" s="24" t="n">
        <v>45547</v>
      </c>
      <c r="I89" s="22" t="n">
        <v>649.79</v>
      </c>
      <c r="J89" s="25" t="n">
        <f aca="true">NOW()</f>
        <v>46303.4329743213</v>
      </c>
      <c r="K89" s="26" t="n">
        <f aca="false">SUMIF($A$2:$A$201,A89,$E$2:$E$201)</f>
        <v>7813.59</v>
      </c>
      <c r="L89" s="26" t="n">
        <f aca="false">SUMIF($A$2:$A$201,A89,$I$2:$I$201)</f>
        <v>3211.82</v>
      </c>
    </row>
    <row r="90" customFormat="false" ht="15.75" hidden="false" customHeight="true" outlineLevel="0" collapsed="false">
      <c r="A90" s="3" t="s">
        <v>72</v>
      </c>
      <c r="B90" s="3" t="s">
        <v>57</v>
      </c>
      <c r="C90" s="3" t="s">
        <v>53</v>
      </c>
      <c r="D90" s="3" t="s">
        <v>20</v>
      </c>
      <c r="E90" s="22" t="n">
        <v>1154.33</v>
      </c>
      <c r="F90" s="3" t="n">
        <v>11</v>
      </c>
      <c r="G90" s="23" t="n">
        <v>0.15</v>
      </c>
      <c r="H90" s="24" t="n">
        <v>45549</v>
      </c>
      <c r="I90" s="22" t="n">
        <v>441.53</v>
      </c>
      <c r="J90" s="25" t="n">
        <f aca="true">NOW()</f>
        <v>46303.4329743218</v>
      </c>
      <c r="K90" s="26" t="n">
        <f aca="false">SUMIF($A$2:$A$201,A90,$E$2:$E$201)</f>
        <v>5913.68</v>
      </c>
      <c r="L90" s="26" t="n">
        <f aca="false">SUMIF($A$2:$A$201,A90,$I$2:$I$201)</f>
        <v>2198.62</v>
      </c>
    </row>
    <row r="91" customFormat="false" ht="15.75" hidden="false" customHeight="true" outlineLevel="0" collapsed="false">
      <c r="A91" s="3" t="s">
        <v>81</v>
      </c>
      <c r="B91" s="3" t="s">
        <v>82</v>
      </c>
      <c r="C91" s="3" t="s">
        <v>55</v>
      </c>
      <c r="D91" s="3" t="s">
        <v>16</v>
      </c>
      <c r="E91" s="22" t="n">
        <v>1264.49</v>
      </c>
      <c r="F91" s="3" t="n">
        <v>16</v>
      </c>
      <c r="G91" s="23" t="n">
        <v>0.05</v>
      </c>
      <c r="H91" s="24" t="n">
        <v>45549</v>
      </c>
      <c r="I91" s="22" t="n">
        <v>480.51</v>
      </c>
      <c r="J91" s="25" t="n">
        <f aca="true">NOW()</f>
        <v>46303.4329743221</v>
      </c>
      <c r="K91" s="26" t="n">
        <f aca="false">SUMIF($A$2:$A$201,A91,$E$2:$E$201)</f>
        <v>4418.28</v>
      </c>
      <c r="L91" s="26" t="n">
        <f aca="false">SUMIF($A$2:$A$201,A91,$I$2:$I$201)</f>
        <v>1605.23</v>
      </c>
    </row>
    <row r="92" customFormat="false" ht="15.75" hidden="false" customHeight="true" outlineLevel="0" collapsed="false">
      <c r="A92" s="3" t="s">
        <v>59</v>
      </c>
      <c r="B92" s="3" t="s">
        <v>98</v>
      </c>
      <c r="C92" s="3" t="s">
        <v>48</v>
      </c>
      <c r="D92" s="3" t="s">
        <v>19</v>
      </c>
      <c r="E92" s="22" t="n">
        <v>1101.55</v>
      </c>
      <c r="F92" s="3" t="n">
        <v>4</v>
      </c>
      <c r="G92" s="23" t="n">
        <v>0.1</v>
      </c>
      <c r="H92" s="24" t="n">
        <v>45551</v>
      </c>
      <c r="I92" s="22" t="n">
        <v>346.99</v>
      </c>
      <c r="J92" s="25" t="n">
        <f aca="true">NOW()</f>
        <v>46303.4329743213</v>
      </c>
      <c r="K92" s="26" t="n">
        <f aca="false">SUMIF($A$2:$A$201,A92,$E$2:$E$201)</f>
        <v>9941.88</v>
      </c>
      <c r="L92" s="26" t="n">
        <f aca="false">SUMIF($A$2:$A$201,A92,$I$2:$I$201)</f>
        <v>3936.26</v>
      </c>
    </row>
    <row r="93" customFormat="false" ht="15.75" hidden="false" customHeight="true" outlineLevel="0" collapsed="false">
      <c r="A93" s="3" t="s">
        <v>105</v>
      </c>
      <c r="B93" s="3" t="s">
        <v>50</v>
      </c>
      <c r="C93" s="3" t="s">
        <v>55</v>
      </c>
      <c r="D93" s="3" t="s">
        <v>19</v>
      </c>
      <c r="E93" s="22" t="n">
        <v>727.73</v>
      </c>
      <c r="F93" s="3" t="n">
        <v>1</v>
      </c>
      <c r="G93" s="23" t="n">
        <v>0.1</v>
      </c>
      <c r="H93" s="24" t="n">
        <v>45552</v>
      </c>
      <c r="I93" s="22" t="n">
        <v>229.23</v>
      </c>
      <c r="J93" s="25" t="n">
        <f aca="true">NOW()</f>
        <v>46303.4329743218</v>
      </c>
      <c r="K93" s="26" t="n">
        <f aca="false">SUMIF($A$2:$A$201,A93,$E$2:$E$201)</f>
        <v>4162.44</v>
      </c>
      <c r="L93" s="26" t="n">
        <f aca="false">SUMIF($A$2:$A$201,A93,$I$2:$I$201)</f>
        <v>1605.11</v>
      </c>
    </row>
    <row r="94" customFormat="false" ht="15.75" hidden="false" customHeight="true" outlineLevel="0" collapsed="false">
      <c r="A94" s="3" t="s">
        <v>106</v>
      </c>
      <c r="B94" s="3" t="s">
        <v>71</v>
      </c>
      <c r="C94" s="3" t="s">
        <v>53</v>
      </c>
      <c r="D94" s="3" t="s">
        <v>20</v>
      </c>
      <c r="E94" s="22" t="n">
        <v>875.41</v>
      </c>
      <c r="F94" s="3" t="n">
        <v>13</v>
      </c>
      <c r="G94" s="23" t="n">
        <v>0.15</v>
      </c>
      <c r="H94" s="24" t="n">
        <v>45552</v>
      </c>
      <c r="I94" s="22" t="n">
        <v>334.84</v>
      </c>
      <c r="J94" s="25" t="n">
        <f aca="true">NOW()</f>
        <v>46303.4329743221</v>
      </c>
      <c r="K94" s="26" t="n">
        <f aca="false">SUMIF($A$2:$A$201,A94,$E$2:$E$201)</f>
        <v>3906.04</v>
      </c>
      <c r="L94" s="26" t="n">
        <f aca="false">SUMIF($A$2:$A$201,A94,$I$2:$I$201)</f>
        <v>1240.65</v>
      </c>
    </row>
    <row r="95" customFormat="false" ht="15.75" hidden="false" customHeight="true" outlineLevel="0" collapsed="false">
      <c r="A95" s="3" t="s">
        <v>99</v>
      </c>
      <c r="B95" s="3" t="s">
        <v>57</v>
      </c>
      <c r="C95" s="3" t="s">
        <v>48</v>
      </c>
      <c r="D95" s="3" t="s">
        <v>18</v>
      </c>
      <c r="E95" s="22" t="n">
        <v>1158.94</v>
      </c>
      <c r="F95" s="3" t="n">
        <v>19</v>
      </c>
      <c r="G95" s="23" t="n">
        <v>0.2</v>
      </c>
      <c r="H95" s="24" t="n">
        <v>45553</v>
      </c>
      <c r="I95" s="22" t="n">
        <v>231.79</v>
      </c>
      <c r="J95" s="25" t="n">
        <f aca="true">NOW()</f>
        <v>46303.4329743213</v>
      </c>
      <c r="K95" s="26" t="n">
        <f aca="false">SUMIF($A$2:$A$201,A95,$E$2:$E$201)</f>
        <v>8490.18</v>
      </c>
      <c r="L95" s="26" t="n">
        <f aca="false">SUMIF($A$2:$A$201,A95,$I$2:$I$201)</f>
        <v>2652.75</v>
      </c>
    </row>
    <row r="96" customFormat="false" ht="15.75" hidden="false" customHeight="true" outlineLevel="0" collapsed="false">
      <c r="A96" s="3" t="s">
        <v>107</v>
      </c>
      <c r="B96" s="3" t="s">
        <v>79</v>
      </c>
      <c r="C96" s="3" t="s">
        <v>55</v>
      </c>
      <c r="D96" s="3" t="s">
        <v>16</v>
      </c>
      <c r="E96" s="22" t="n">
        <v>966.3</v>
      </c>
      <c r="F96" s="3" t="n">
        <v>2</v>
      </c>
      <c r="G96" s="23" t="n">
        <v>0.15</v>
      </c>
      <c r="H96" s="24" t="n">
        <v>45557</v>
      </c>
      <c r="I96" s="22" t="n">
        <v>328.54</v>
      </c>
      <c r="J96" s="25" t="n">
        <f aca="true">NOW()</f>
        <v>46303.4329743218</v>
      </c>
      <c r="K96" s="26" t="n">
        <f aca="false">SUMIF($A$2:$A$201,A96,$E$2:$E$201)</f>
        <v>4951.89</v>
      </c>
      <c r="L96" s="26" t="n">
        <f aca="false">SUMIF($A$2:$A$201,A96,$I$2:$I$201)</f>
        <v>1821.64</v>
      </c>
    </row>
    <row r="97" customFormat="false" ht="15.75" hidden="false" customHeight="true" outlineLevel="0" collapsed="false">
      <c r="A97" s="3" t="s">
        <v>100</v>
      </c>
      <c r="B97" s="3" t="s">
        <v>52</v>
      </c>
      <c r="C97" s="3" t="s">
        <v>55</v>
      </c>
      <c r="D97" s="3" t="s">
        <v>16</v>
      </c>
      <c r="E97" s="22" t="n">
        <v>917.48</v>
      </c>
      <c r="F97" s="3" t="n">
        <v>6</v>
      </c>
      <c r="G97" s="23" t="n">
        <v>0</v>
      </c>
      <c r="H97" s="24" t="n">
        <v>45558</v>
      </c>
      <c r="I97" s="22" t="n">
        <v>366.99</v>
      </c>
      <c r="J97" s="25" t="n">
        <f aca="true">NOW()</f>
        <v>46303.4329743221</v>
      </c>
      <c r="K97" s="26" t="n">
        <f aca="false">SUMIF($A$2:$A$201,A97,$E$2:$E$201)</f>
        <v>4413.71</v>
      </c>
      <c r="L97" s="26" t="n">
        <f aca="false">SUMIF($A$2:$A$201,A97,$I$2:$I$201)</f>
        <v>1664.79</v>
      </c>
    </row>
    <row r="98" customFormat="false" ht="15.75" hidden="false" customHeight="true" outlineLevel="0" collapsed="false">
      <c r="A98" s="3" t="s">
        <v>73</v>
      </c>
      <c r="B98" s="3" t="s">
        <v>93</v>
      </c>
      <c r="C98" s="3" t="s">
        <v>48</v>
      </c>
      <c r="D98" s="3" t="s">
        <v>19</v>
      </c>
      <c r="E98" s="22" t="n">
        <v>1172.97</v>
      </c>
      <c r="F98" s="3" t="n">
        <v>7</v>
      </c>
      <c r="G98" s="23" t="n">
        <v>0.15</v>
      </c>
      <c r="H98" s="24" t="n">
        <v>45559</v>
      </c>
      <c r="I98" s="22" t="n">
        <v>348.96</v>
      </c>
      <c r="J98" s="25" t="n">
        <f aca="true">NOW()</f>
        <v>46303.4329743213</v>
      </c>
      <c r="K98" s="26" t="n">
        <f aca="false">SUMIF($A$2:$A$201,A98,$E$2:$E$201)</f>
        <v>5779.05</v>
      </c>
      <c r="L98" s="26" t="n">
        <f aca="false">SUMIF($A$2:$A$201,A98,$I$2:$I$201)</f>
        <v>1611.66</v>
      </c>
    </row>
    <row r="99" customFormat="false" ht="15.75" hidden="false" customHeight="true" outlineLevel="0" collapsed="false">
      <c r="A99" s="3" t="s">
        <v>89</v>
      </c>
      <c r="B99" s="3" t="s">
        <v>57</v>
      </c>
      <c r="C99" s="3" t="s">
        <v>58</v>
      </c>
      <c r="D99" s="3" t="s">
        <v>17</v>
      </c>
      <c r="E99" s="22" t="n">
        <v>1205.82</v>
      </c>
      <c r="F99" s="3" t="n">
        <v>11</v>
      </c>
      <c r="G99" s="23" t="n">
        <v>0.1</v>
      </c>
      <c r="H99" s="24" t="n">
        <v>45559</v>
      </c>
      <c r="I99" s="22" t="n">
        <v>542.62</v>
      </c>
      <c r="J99" s="25" t="n">
        <f aca="true">NOW()</f>
        <v>46303.4329743218</v>
      </c>
      <c r="K99" s="26" t="n">
        <f aca="false">SUMIF($A$2:$A$201,A99,$E$2:$E$201)</f>
        <v>8740.18</v>
      </c>
      <c r="L99" s="26" t="n">
        <f aca="false">SUMIF($A$2:$A$201,A99,$I$2:$I$201)</f>
        <v>2848.62</v>
      </c>
    </row>
    <row r="100" customFormat="false" ht="15.75" hidden="false" customHeight="true" outlineLevel="0" collapsed="false">
      <c r="A100" s="3" t="s">
        <v>51</v>
      </c>
      <c r="B100" s="3" t="s">
        <v>96</v>
      </c>
      <c r="C100" s="3" t="s">
        <v>48</v>
      </c>
      <c r="D100" s="3" t="s">
        <v>20</v>
      </c>
      <c r="E100" s="22" t="n">
        <v>826.93</v>
      </c>
      <c r="F100" s="3" t="n">
        <v>10</v>
      </c>
      <c r="G100" s="23" t="n">
        <v>0.2</v>
      </c>
      <c r="H100" s="24" t="n">
        <v>45564</v>
      </c>
      <c r="I100" s="22" t="n">
        <v>297.69</v>
      </c>
      <c r="J100" s="25" t="n">
        <f aca="true">NOW()</f>
        <v>46303.4329743221</v>
      </c>
      <c r="K100" s="26" t="n">
        <f aca="false">SUMIF($A$2:$A$201,A100,$E$2:$E$201)</f>
        <v>3419.2</v>
      </c>
      <c r="L100" s="26" t="n">
        <f aca="false">SUMIF($A$2:$A$201,A100,$I$2:$I$201)</f>
        <v>1257.21</v>
      </c>
    </row>
    <row r="101" customFormat="false" ht="15.75" hidden="false" customHeight="true" outlineLevel="0" collapsed="false">
      <c r="A101" s="3" t="s">
        <v>99</v>
      </c>
      <c r="B101" s="3" t="s">
        <v>57</v>
      </c>
      <c r="C101" s="3" t="s">
        <v>67</v>
      </c>
      <c r="D101" s="3" t="s">
        <v>17</v>
      </c>
      <c r="E101" s="22" t="n">
        <v>902.19</v>
      </c>
      <c r="F101" s="3" t="n">
        <v>12</v>
      </c>
      <c r="G101" s="23" t="n">
        <v>0</v>
      </c>
      <c r="H101" s="24" t="n">
        <v>45564</v>
      </c>
      <c r="I101" s="22" t="n">
        <v>451.1</v>
      </c>
      <c r="J101" s="25" t="n">
        <f aca="true">NOW()</f>
        <v>46303.432974322</v>
      </c>
      <c r="K101" s="26" t="n">
        <f aca="false">SUMIF($A$2:$A$201,A101,$E$2:$E$201)</f>
        <v>8490.18</v>
      </c>
      <c r="L101" s="26" t="n">
        <f aca="false">SUMIF($A$2:$A$201,A101,$I$2:$I$201)</f>
        <v>2652.75</v>
      </c>
    </row>
    <row r="102" customFormat="false" ht="15.75" hidden="false" customHeight="true" outlineLevel="0" collapsed="false">
      <c r="A102" s="3" t="s">
        <v>106</v>
      </c>
      <c r="B102" s="3" t="s">
        <v>71</v>
      </c>
      <c r="C102" s="3" t="s">
        <v>58</v>
      </c>
      <c r="D102" s="3" t="s">
        <v>16</v>
      </c>
      <c r="E102" s="22" t="n">
        <v>585.97</v>
      </c>
      <c r="F102" s="3" t="n">
        <v>17</v>
      </c>
      <c r="G102" s="23" t="n">
        <v>0.1</v>
      </c>
      <c r="H102" s="24" t="n">
        <v>45565</v>
      </c>
      <c r="I102" s="22" t="n">
        <v>210.95</v>
      </c>
      <c r="J102" s="25" t="n">
        <f aca="true">NOW()</f>
        <v>46303.4329743218</v>
      </c>
      <c r="K102" s="26" t="n">
        <f aca="false">SUMIF($A$2:$A$201,A102,$E$2:$E$201)</f>
        <v>3906.04</v>
      </c>
      <c r="L102" s="26" t="n">
        <f aca="false">SUMIF($A$2:$A$201,A102,$I$2:$I$201)</f>
        <v>1240.65</v>
      </c>
    </row>
    <row r="103" customFormat="false" ht="15.75" hidden="false" customHeight="true" outlineLevel="0" collapsed="false">
      <c r="A103" s="3" t="s">
        <v>92</v>
      </c>
      <c r="B103" s="3" t="s">
        <v>60</v>
      </c>
      <c r="C103" s="3" t="s">
        <v>58</v>
      </c>
      <c r="D103" s="3" t="s">
        <v>17</v>
      </c>
      <c r="E103" s="22" t="n">
        <v>990.19</v>
      </c>
      <c r="F103" s="3" t="n">
        <v>8</v>
      </c>
      <c r="G103" s="23" t="n">
        <v>0.1</v>
      </c>
      <c r="H103" s="24" t="n">
        <v>45565</v>
      </c>
      <c r="I103" s="22" t="n">
        <v>445.59</v>
      </c>
      <c r="J103" s="25" t="n">
        <f aca="true">NOW()</f>
        <v>46303.4329743221</v>
      </c>
      <c r="K103" s="26" t="n">
        <f aca="false">SUMIF($A$2:$A$201,A103,$E$2:$E$201)</f>
        <v>3369.17</v>
      </c>
      <c r="L103" s="26" t="n">
        <f aca="false">SUMIF($A$2:$A$201,A103,$I$2:$I$201)</f>
        <v>1497.25</v>
      </c>
    </row>
    <row r="104" customFormat="false" ht="15.75" hidden="false" customHeight="true" outlineLevel="0" collapsed="false">
      <c r="A104" s="3" t="s">
        <v>76</v>
      </c>
      <c r="B104" s="3" t="s">
        <v>88</v>
      </c>
      <c r="C104" s="3" t="s">
        <v>67</v>
      </c>
      <c r="D104" s="3" t="s">
        <v>18</v>
      </c>
      <c r="E104" s="22" t="n">
        <v>1014.09</v>
      </c>
      <c r="F104" s="3" t="n">
        <v>13</v>
      </c>
      <c r="G104" s="23" t="n">
        <v>0.2</v>
      </c>
      <c r="H104" s="24" t="n">
        <v>45567</v>
      </c>
      <c r="I104" s="22" t="n">
        <v>202.82</v>
      </c>
      <c r="J104" s="25" t="n">
        <f aca="true">NOW()</f>
        <v>46303.432974322</v>
      </c>
      <c r="K104" s="26" t="n">
        <f aca="false">SUMIF($A$2:$A$201,A104,$E$2:$E$201)</f>
        <v>9760.8</v>
      </c>
      <c r="L104" s="26" t="n">
        <f aca="false">SUMIF($A$2:$A$201,A104,$I$2:$I$201)</f>
        <v>3442.48</v>
      </c>
    </row>
    <row r="105" customFormat="false" ht="15.75" hidden="false" customHeight="true" outlineLevel="0" collapsed="false">
      <c r="A105" s="3" t="s">
        <v>49</v>
      </c>
      <c r="B105" s="3" t="s">
        <v>80</v>
      </c>
      <c r="C105" s="3" t="s">
        <v>58</v>
      </c>
      <c r="D105" s="3" t="s">
        <v>18</v>
      </c>
      <c r="E105" s="22" t="n">
        <v>925.29</v>
      </c>
      <c r="F105" s="3" t="n">
        <v>17</v>
      </c>
      <c r="G105" s="23" t="n">
        <v>0</v>
      </c>
      <c r="H105" s="24" t="n">
        <v>45570</v>
      </c>
      <c r="I105" s="22" t="n">
        <v>231.32</v>
      </c>
      <c r="J105" s="25" t="n">
        <f aca="true">NOW()</f>
        <v>46303.4329743218</v>
      </c>
      <c r="K105" s="26" t="n">
        <f aca="false">SUMIF($A$2:$A$201,A105,$E$2:$E$201)</f>
        <v>8339</v>
      </c>
      <c r="L105" s="26" t="n">
        <f aca="false">SUMIF($A$2:$A$201,A105,$I$2:$I$201)</f>
        <v>2988.71</v>
      </c>
    </row>
    <row r="106" customFormat="false" ht="15.75" hidden="false" customHeight="true" outlineLevel="0" collapsed="false">
      <c r="A106" s="3" t="s">
        <v>86</v>
      </c>
      <c r="B106" s="3" t="s">
        <v>79</v>
      </c>
      <c r="C106" s="3" t="s">
        <v>53</v>
      </c>
      <c r="D106" s="3" t="s">
        <v>19</v>
      </c>
      <c r="E106" s="22" t="n">
        <v>1286.54</v>
      </c>
      <c r="F106" s="3" t="n">
        <v>8</v>
      </c>
      <c r="G106" s="23" t="n">
        <v>0</v>
      </c>
      <c r="H106" s="24" t="n">
        <v>45575</v>
      </c>
      <c r="I106" s="22" t="n">
        <v>450.29</v>
      </c>
      <c r="J106" s="25" t="n">
        <f aca="true">NOW()</f>
        <v>46303.4329743221</v>
      </c>
      <c r="K106" s="26" t="n">
        <f aca="false">SUMIF($A$2:$A$201,A106,$E$2:$E$201)</f>
        <v>6716.52</v>
      </c>
      <c r="L106" s="26" t="n">
        <f aca="false">SUMIF($A$2:$A$201,A106,$I$2:$I$201)</f>
        <v>2327.84</v>
      </c>
    </row>
    <row r="107" customFormat="false" ht="15.75" hidden="false" customHeight="true" outlineLevel="0" collapsed="false">
      <c r="A107" s="3" t="s">
        <v>70</v>
      </c>
      <c r="B107" s="3" t="s">
        <v>96</v>
      </c>
      <c r="C107" s="3" t="s">
        <v>55</v>
      </c>
      <c r="D107" s="3" t="s">
        <v>16</v>
      </c>
      <c r="E107" s="22" t="n">
        <v>961.62</v>
      </c>
      <c r="F107" s="3" t="n">
        <v>8</v>
      </c>
      <c r="G107" s="23" t="n">
        <v>0.2</v>
      </c>
      <c r="H107" s="24" t="n">
        <v>45577</v>
      </c>
      <c r="I107" s="22" t="n">
        <v>307.72</v>
      </c>
      <c r="J107" s="25" t="n">
        <f aca="true">NOW()</f>
        <v>46303.4329743221</v>
      </c>
      <c r="K107" s="26" t="n">
        <f aca="false">SUMIF($A$2:$A$201,A107,$E$2:$E$201)</f>
        <v>6729.89</v>
      </c>
      <c r="L107" s="26" t="n">
        <f aca="false">SUMIF($A$2:$A$201,A107,$I$2:$I$201)</f>
        <v>2507.18</v>
      </c>
    </row>
    <row r="108" customFormat="false" ht="15.75" hidden="false" customHeight="true" outlineLevel="0" collapsed="false">
      <c r="A108" s="3" t="s">
        <v>76</v>
      </c>
      <c r="B108" s="3" t="s">
        <v>57</v>
      </c>
      <c r="C108" s="3" t="s">
        <v>53</v>
      </c>
      <c r="D108" s="3" t="s">
        <v>16</v>
      </c>
      <c r="E108" s="22" t="n">
        <v>1081.14</v>
      </c>
      <c r="F108" s="3" t="n">
        <v>19</v>
      </c>
      <c r="G108" s="23" t="n">
        <v>0.15</v>
      </c>
      <c r="H108" s="24" t="n">
        <v>45577</v>
      </c>
      <c r="I108" s="22" t="n">
        <v>367.59</v>
      </c>
      <c r="J108" s="25" t="n">
        <f aca="true">NOW()</f>
        <v>46303.4329743218</v>
      </c>
      <c r="K108" s="26" t="n">
        <f aca="false">SUMIF($A$2:$A$201,A108,$E$2:$E$201)</f>
        <v>9760.8</v>
      </c>
      <c r="L108" s="26" t="n">
        <f aca="false">SUMIF($A$2:$A$201,A108,$I$2:$I$201)</f>
        <v>3442.48</v>
      </c>
    </row>
    <row r="109" customFormat="false" ht="15.75" hidden="false" customHeight="true" outlineLevel="0" collapsed="false">
      <c r="A109" s="3" t="s">
        <v>90</v>
      </c>
      <c r="B109" s="3" t="s">
        <v>57</v>
      </c>
      <c r="C109" s="3" t="s">
        <v>48</v>
      </c>
      <c r="D109" s="3" t="s">
        <v>17</v>
      </c>
      <c r="E109" s="22" t="n">
        <v>1923.66</v>
      </c>
      <c r="F109" s="3" t="n">
        <v>9</v>
      </c>
      <c r="G109" s="23" t="n">
        <v>0.2</v>
      </c>
      <c r="H109" s="24" t="n">
        <v>45580</v>
      </c>
      <c r="I109" s="22" t="n">
        <v>769.46</v>
      </c>
      <c r="J109" s="25" t="n">
        <f aca="true">NOW()</f>
        <v>46303.4329743221</v>
      </c>
      <c r="K109" s="26" t="n">
        <f aca="false">SUMIF($A$2:$A$201,A109,$E$2:$E$201)</f>
        <v>11611.06</v>
      </c>
      <c r="L109" s="26" t="n">
        <f aca="false">SUMIF($A$2:$A$201,A109,$I$2:$I$201)</f>
        <v>4201.59</v>
      </c>
    </row>
    <row r="110" customFormat="false" ht="15.75" hidden="false" customHeight="true" outlineLevel="0" collapsed="false">
      <c r="A110" s="3" t="s">
        <v>86</v>
      </c>
      <c r="B110" s="3" t="s">
        <v>98</v>
      </c>
      <c r="C110" s="3" t="s">
        <v>67</v>
      </c>
      <c r="D110" s="3" t="s">
        <v>17</v>
      </c>
      <c r="E110" s="22" t="n">
        <v>728.71</v>
      </c>
      <c r="F110" s="3" t="n">
        <v>14</v>
      </c>
      <c r="G110" s="23" t="n">
        <v>0.1</v>
      </c>
      <c r="H110" s="24" t="n">
        <v>45581</v>
      </c>
      <c r="I110" s="22" t="n">
        <v>327.92</v>
      </c>
      <c r="J110" s="25" t="n">
        <f aca="true">NOW()</f>
        <v>46303.4329743221</v>
      </c>
      <c r="K110" s="26" t="n">
        <f aca="false">SUMIF($A$2:$A$201,A110,$E$2:$E$201)</f>
        <v>6716.52</v>
      </c>
      <c r="L110" s="26" t="n">
        <f aca="false">SUMIF($A$2:$A$201,A110,$I$2:$I$201)</f>
        <v>2327.84</v>
      </c>
    </row>
    <row r="111" customFormat="false" ht="15.75" hidden="false" customHeight="true" outlineLevel="0" collapsed="false">
      <c r="A111" s="3" t="s">
        <v>46</v>
      </c>
      <c r="B111" s="3" t="s">
        <v>66</v>
      </c>
      <c r="C111" s="3" t="s">
        <v>67</v>
      </c>
      <c r="D111" s="3" t="s">
        <v>17</v>
      </c>
      <c r="E111" s="22" t="n">
        <v>1301.89</v>
      </c>
      <c r="F111" s="3" t="n">
        <v>7</v>
      </c>
      <c r="G111" s="23" t="n">
        <v>0.15</v>
      </c>
      <c r="H111" s="24" t="n">
        <v>45581</v>
      </c>
      <c r="I111" s="22" t="n">
        <v>553.3</v>
      </c>
      <c r="J111" s="25" t="n">
        <f aca="true">NOW()</f>
        <v>46303.4329743219</v>
      </c>
      <c r="K111" s="26" t="n">
        <f aca="false">SUMIF($A$2:$A$201,A111,$E$2:$E$201)</f>
        <v>4640.11</v>
      </c>
      <c r="L111" s="26" t="n">
        <f aca="false">SUMIF($A$2:$A$201,A111,$I$2:$I$201)</f>
        <v>1721.12</v>
      </c>
    </row>
    <row r="112" customFormat="false" ht="15.75" hidden="false" customHeight="true" outlineLevel="0" collapsed="false">
      <c r="A112" s="3" t="s">
        <v>102</v>
      </c>
      <c r="B112" s="3" t="s">
        <v>98</v>
      </c>
      <c r="C112" s="3" t="s">
        <v>53</v>
      </c>
      <c r="D112" s="3" t="s">
        <v>16</v>
      </c>
      <c r="E112" s="22" t="n">
        <v>980.18</v>
      </c>
      <c r="F112" s="3" t="n">
        <v>16</v>
      </c>
      <c r="G112" s="23" t="n">
        <v>0.1</v>
      </c>
      <c r="H112" s="24" t="n">
        <v>45582</v>
      </c>
      <c r="I112" s="22" t="n">
        <v>352.86</v>
      </c>
      <c r="J112" s="25" t="n">
        <f aca="true">NOW()</f>
        <v>46303.4329743222</v>
      </c>
      <c r="K112" s="26" t="n">
        <f aca="false">SUMIF($A$2:$A$201,A112,$E$2:$E$201)</f>
        <v>7583.13</v>
      </c>
      <c r="L112" s="26" t="n">
        <f aca="false">SUMIF($A$2:$A$201,A112,$I$2:$I$201)</f>
        <v>2492.1</v>
      </c>
    </row>
    <row r="113" customFormat="false" ht="15.75" hidden="false" customHeight="true" outlineLevel="0" collapsed="false">
      <c r="A113" s="3" t="s">
        <v>106</v>
      </c>
      <c r="B113" s="3" t="s">
        <v>57</v>
      </c>
      <c r="C113" s="3" t="s">
        <v>48</v>
      </c>
      <c r="D113" s="3" t="s">
        <v>17</v>
      </c>
      <c r="E113" s="22" t="n">
        <v>697.57</v>
      </c>
      <c r="F113" s="3" t="n">
        <v>17</v>
      </c>
      <c r="G113" s="23" t="n">
        <v>0.1</v>
      </c>
      <c r="H113" s="24" t="n">
        <v>45584</v>
      </c>
      <c r="I113" s="22" t="n">
        <v>313.91</v>
      </c>
      <c r="J113" s="25" t="n">
        <f aca="true">NOW()</f>
        <v>46303.4329743221</v>
      </c>
      <c r="K113" s="26" t="n">
        <f aca="false">SUMIF($A$2:$A$201,A113,$E$2:$E$201)</f>
        <v>3906.04</v>
      </c>
      <c r="L113" s="26" t="n">
        <f aca="false">SUMIF($A$2:$A$201,A113,$I$2:$I$201)</f>
        <v>1240.65</v>
      </c>
    </row>
    <row r="114" customFormat="false" ht="15.75" hidden="false" customHeight="true" outlineLevel="0" collapsed="false">
      <c r="A114" s="3" t="s">
        <v>78</v>
      </c>
      <c r="B114" s="3" t="s">
        <v>103</v>
      </c>
      <c r="C114" s="3" t="s">
        <v>48</v>
      </c>
      <c r="D114" s="3" t="s">
        <v>19</v>
      </c>
      <c r="E114" s="22" t="n">
        <v>1193.61</v>
      </c>
      <c r="F114" s="3" t="n">
        <v>1</v>
      </c>
      <c r="G114" s="23" t="n">
        <v>0.15</v>
      </c>
      <c r="H114" s="24" t="n">
        <v>45584</v>
      </c>
      <c r="I114" s="22" t="n">
        <v>355.1</v>
      </c>
      <c r="J114" s="25" t="n">
        <f aca="true">NOW()</f>
        <v>46303.4329743219</v>
      </c>
      <c r="K114" s="26" t="n">
        <f aca="false">SUMIF($A$2:$A$201,A114,$E$2:$E$201)</f>
        <v>2699.75</v>
      </c>
      <c r="L114" s="26" t="n">
        <f aca="false">SUMIF($A$2:$A$201,A114,$I$2:$I$201)</f>
        <v>837.06</v>
      </c>
    </row>
    <row r="115" customFormat="false" ht="15.75" hidden="false" customHeight="true" outlineLevel="0" collapsed="false">
      <c r="A115" s="3" t="s">
        <v>65</v>
      </c>
      <c r="B115" s="3" t="s">
        <v>71</v>
      </c>
      <c r="C115" s="3" t="s">
        <v>55</v>
      </c>
      <c r="D115" s="3" t="s">
        <v>18</v>
      </c>
      <c r="E115" s="22" t="n">
        <v>771.02</v>
      </c>
      <c r="F115" s="3" t="n">
        <v>1</v>
      </c>
      <c r="G115" s="23" t="n">
        <v>0</v>
      </c>
      <c r="H115" s="24" t="n">
        <v>45585</v>
      </c>
      <c r="I115" s="22" t="n">
        <v>192.76</v>
      </c>
      <c r="J115" s="25" t="n">
        <f aca="true">NOW()</f>
        <v>46303.4329743222</v>
      </c>
      <c r="K115" s="26" t="n">
        <f aca="false">SUMIF($A$2:$A$201,A115,$E$2:$E$201)</f>
        <v>6505.2</v>
      </c>
      <c r="L115" s="26" t="n">
        <f aca="false">SUMIF($A$2:$A$201,A115,$I$2:$I$201)</f>
        <v>2052.54</v>
      </c>
    </row>
    <row r="116" customFormat="false" ht="15.75" hidden="false" customHeight="true" outlineLevel="0" collapsed="false">
      <c r="A116" s="3" t="s">
        <v>99</v>
      </c>
      <c r="B116" s="3" t="s">
        <v>101</v>
      </c>
      <c r="C116" s="3" t="s">
        <v>58</v>
      </c>
      <c r="D116" s="3" t="s">
        <v>17</v>
      </c>
      <c r="E116" s="22" t="n">
        <v>661.09</v>
      </c>
      <c r="F116" s="3" t="n">
        <v>1</v>
      </c>
      <c r="G116" s="23" t="n">
        <v>0.2</v>
      </c>
      <c r="H116" s="24" t="n">
        <v>45593</v>
      </c>
      <c r="I116" s="22" t="n">
        <v>264.44</v>
      </c>
      <c r="J116" s="25" t="n">
        <f aca="true">NOW()</f>
        <v>46303.4329743222</v>
      </c>
      <c r="K116" s="26" t="n">
        <f aca="false">SUMIF($A$2:$A$201,A116,$E$2:$E$201)</f>
        <v>8490.18</v>
      </c>
      <c r="L116" s="26" t="n">
        <f aca="false">SUMIF($A$2:$A$201,A116,$I$2:$I$201)</f>
        <v>2652.75</v>
      </c>
    </row>
    <row r="117" customFormat="false" ht="15.75" hidden="false" customHeight="true" outlineLevel="0" collapsed="false">
      <c r="A117" s="3" t="s">
        <v>49</v>
      </c>
      <c r="B117" s="3" t="s">
        <v>87</v>
      </c>
      <c r="C117" s="3" t="s">
        <v>48</v>
      </c>
      <c r="D117" s="3" t="s">
        <v>18</v>
      </c>
      <c r="E117" s="22" t="n">
        <v>688.83</v>
      </c>
      <c r="F117" s="3" t="n">
        <v>15</v>
      </c>
      <c r="G117" s="23" t="n">
        <v>0</v>
      </c>
      <c r="H117" s="24" t="n">
        <v>45595</v>
      </c>
      <c r="I117" s="22" t="n">
        <v>172.21</v>
      </c>
      <c r="J117" s="25" t="n">
        <f aca="true">NOW()</f>
        <v>46303.4329743219</v>
      </c>
      <c r="K117" s="26" t="n">
        <f aca="false">SUMIF($A$2:$A$201,A117,$E$2:$E$201)</f>
        <v>8339</v>
      </c>
      <c r="L117" s="26" t="n">
        <f aca="false">SUMIF($A$2:$A$201,A117,$I$2:$I$201)</f>
        <v>2988.71</v>
      </c>
    </row>
    <row r="118" customFormat="false" ht="15.75" hidden="false" customHeight="true" outlineLevel="0" collapsed="false">
      <c r="A118" s="3" t="s">
        <v>105</v>
      </c>
      <c r="B118" s="3" t="s">
        <v>62</v>
      </c>
      <c r="C118" s="3" t="s">
        <v>67</v>
      </c>
      <c r="D118" s="3" t="s">
        <v>16</v>
      </c>
      <c r="E118" s="22" t="n">
        <v>1249.1</v>
      </c>
      <c r="F118" s="3" t="n">
        <v>4</v>
      </c>
      <c r="G118" s="23" t="n">
        <v>0.05</v>
      </c>
      <c r="H118" s="24" t="n">
        <v>45597</v>
      </c>
      <c r="I118" s="22" t="n">
        <v>474.66</v>
      </c>
      <c r="J118" s="25" t="n">
        <f aca="true">NOW()</f>
        <v>46303.4329743222</v>
      </c>
      <c r="K118" s="26" t="n">
        <f aca="false">SUMIF($A$2:$A$201,A118,$E$2:$E$201)</f>
        <v>4162.44</v>
      </c>
      <c r="L118" s="26" t="n">
        <f aca="false">SUMIF($A$2:$A$201,A118,$I$2:$I$201)</f>
        <v>1605.11</v>
      </c>
    </row>
    <row r="119" customFormat="false" ht="15.75" hidden="false" customHeight="true" outlineLevel="0" collapsed="false">
      <c r="A119" s="3" t="s">
        <v>76</v>
      </c>
      <c r="B119" s="3" t="s">
        <v>57</v>
      </c>
      <c r="C119" s="3" t="s">
        <v>53</v>
      </c>
      <c r="D119" s="3" t="s">
        <v>20</v>
      </c>
      <c r="E119" s="22" t="n">
        <v>1014.22</v>
      </c>
      <c r="F119" s="3" t="n">
        <v>14</v>
      </c>
      <c r="G119" s="23" t="n">
        <v>0.05</v>
      </c>
      <c r="H119" s="24" t="n">
        <v>45599</v>
      </c>
      <c r="I119" s="22" t="n">
        <v>433.58</v>
      </c>
      <c r="J119" s="25" t="n">
        <f aca="true">NOW()</f>
        <v>46303.4329743222</v>
      </c>
      <c r="K119" s="26" t="n">
        <f aca="false">SUMIF($A$2:$A$201,A119,$E$2:$E$201)</f>
        <v>9760.8</v>
      </c>
      <c r="L119" s="26" t="n">
        <f aca="false">SUMIF($A$2:$A$201,A119,$I$2:$I$201)</f>
        <v>3442.48</v>
      </c>
    </row>
    <row r="120" customFormat="false" ht="15.75" hidden="false" customHeight="true" outlineLevel="0" collapsed="false">
      <c r="A120" s="3" t="s">
        <v>86</v>
      </c>
      <c r="B120" s="3" t="s">
        <v>80</v>
      </c>
      <c r="C120" s="3" t="s">
        <v>53</v>
      </c>
      <c r="D120" s="3" t="s">
        <v>16</v>
      </c>
      <c r="E120" s="22" t="n">
        <v>1010.58</v>
      </c>
      <c r="F120" s="3" t="n">
        <v>2</v>
      </c>
      <c r="G120" s="23" t="n">
        <v>0.15</v>
      </c>
      <c r="H120" s="24" t="n">
        <v>45605</v>
      </c>
      <c r="I120" s="22" t="n">
        <v>343.6</v>
      </c>
      <c r="J120" s="25" t="n">
        <f aca="true">NOW()</f>
        <v>46303.4329743219</v>
      </c>
      <c r="K120" s="26" t="n">
        <f aca="false">SUMIF($A$2:$A$201,A120,$E$2:$E$201)</f>
        <v>6716.52</v>
      </c>
      <c r="L120" s="26" t="n">
        <f aca="false">SUMIF($A$2:$A$201,A120,$I$2:$I$201)</f>
        <v>2327.84</v>
      </c>
    </row>
    <row r="121" customFormat="false" ht="15.75" hidden="false" customHeight="true" outlineLevel="0" collapsed="false">
      <c r="A121" s="3" t="s">
        <v>63</v>
      </c>
      <c r="B121" s="3" t="s">
        <v>91</v>
      </c>
      <c r="C121" s="3" t="s">
        <v>58</v>
      </c>
      <c r="D121" s="3" t="s">
        <v>19</v>
      </c>
      <c r="E121" s="22" t="n">
        <v>957.29</v>
      </c>
      <c r="F121" s="3" t="n">
        <v>4</v>
      </c>
      <c r="G121" s="23" t="n">
        <v>0.05</v>
      </c>
      <c r="H121" s="24" t="n">
        <v>45605</v>
      </c>
      <c r="I121" s="22" t="n">
        <v>318.3</v>
      </c>
      <c r="J121" s="25" t="n">
        <f aca="true">NOW()</f>
        <v>46303.4329743222</v>
      </c>
      <c r="K121" s="26" t="n">
        <f aca="false">SUMIF($A$2:$A$201,A121,$E$2:$E$201)</f>
        <v>9371.81</v>
      </c>
      <c r="L121" s="26" t="n">
        <f aca="false">SUMIF($A$2:$A$201,A121,$I$2:$I$201)</f>
        <v>2922.02</v>
      </c>
    </row>
    <row r="122" customFormat="false" ht="15.75" hidden="false" customHeight="true" outlineLevel="0" collapsed="false">
      <c r="A122" s="3" t="s">
        <v>61</v>
      </c>
      <c r="B122" s="3" t="s">
        <v>77</v>
      </c>
      <c r="C122" s="3" t="s">
        <v>58</v>
      </c>
      <c r="D122" s="3" t="s">
        <v>19</v>
      </c>
      <c r="E122" s="22" t="n">
        <v>1077.92</v>
      </c>
      <c r="F122" s="3" t="n">
        <v>3</v>
      </c>
      <c r="G122" s="23" t="n">
        <v>0.05</v>
      </c>
      <c r="H122" s="24" t="n">
        <v>45608</v>
      </c>
      <c r="I122" s="22" t="n">
        <v>358.41</v>
      </c>
      <c r="J122" s="25" t="n">
        <f aca="true">NOW()</f>
        <v>46303.4329743222</v>
      </c>
      <c r="K122" s="26" t="n">
        <f aca="false">SUMIF($A$2:$A$201,A122,$E$2:$E$201)</f>
        <v>6549.55</v>
      </c>
      <c r="L122" s="26" t="n">
        <f aca="false">SUMIF($A$2:$A$201,A122,$I$2:$I$201)</f>
        <v>1868.77</v>
      </c>
    </row>
    <row r="123" customFormat="false" ht="15.75" hidden="false" customHeight="true" outlineLevel="0" collapsed="false">
      <c r="A123" s="3" t="s">
        <v>84</v>
      </c>
      <c r="B123" s="3" t="s">
        <v>82</v>
      </c>
      <c r="C123" s="3" t="s">
        <v>55</v>
      </c>
      <c r="D123" s="3" t="s">
        <v>17</v>
      </c>
      <c r="E123" s="22" t="n">
        <v>1163.01</v>
      </c>
      <c r="F123" s="3" t="n">
        <v>5</v>
      </c>
      <c r="G123" s="23" t="n">
        <v>0</v>
      </c>
      <c r="H123" s="24" t="n">
        <v>45611</v>
      </c>
      <c r="I123" s="22" t="n">
        <v>581.5</v>
      </c>
      <c r="J123" s="25" t="n">
        <f aca="true">NOW()</f>
        <v>46303.4329743219</v>
      </c>
      <c r="K123" s="26" t="n">
        <f aca="false">SUMIF($A$2:$A$201,A123,$E$2:$E$201)</f>
        <v>10293.87</v>
      </c>
      <c r="L123" s="26" t="n">
        <f aca="false">SUMIF($A$2:$A$201,A123,$I$2:$I$201)</f>
        <v>3541.02</v>
      </c>
    </row>
    <row r="124" customFormat="false" ht="15.75" hidden="false" customHeight="true" outlineLevel="0" collapsed="false">
      <c r="A124" s="3" t="s">
        <v>86</v>
      </c>
      <c r="B124" s="3" t="s">
        <v>77</v>
      </c>
      <c r="C124" s="3" t="s">
        <v>53</v>
      </c>
      <c r="D124" s="3" t="s">
        <v>20</v>
      </c>
      <c r="E124" s="22" t="n">
        <v>1014.56</v>
      </c>
      <c r="F124" s="3" t="n">
        <v>10</v>
      </c>
      <c r="G124" s="23" t="n">
        <v>0.1</v>
      </c>
      <c r="H124" s="24" t="n">
        <v>45612</v>
      </c>
      <c r="I124" s="22" t="n">
        <v>410.9</v>
      </c>
      <c r="J124" s="25" t="n">
        <f aca="true">NOW()</f>
        <v>46303.4329743222</v>
      </c>
      <c r="K124" s="26" t="n">
        <f aca="false">SUMIF($A$2:$A$201,A124,$E$2:$E$201)</f>
        <v>6716.52</v>
      </c>
      <c r="L124" s="26" t="n">
        <f aca="false">SUMIF($A$2:$A$201,A124,$I$2:$I$201)</f>
        <v>2327.84</v>
      </c>
    </row>
    <row r="125" customFormat="false" ht="15.75" hidden="false" customHeight="true" outlineLevel="0" collapsed="false">
      <c r="A125" s="3" t="s">
        <v>46</v>
      </c>
      <c r="B125" s="3" t="s">
        <v>52</v>
      </c>
      <c r="C125" s="3" t="s">
        <v>55</v>
      </c>
      <c r="D125" s="3" t="s">
        <v>18</v>
      </c>
      <c r="E125" s="22" t="n">
        <v>718.04</v>
      </c>
      <c r="F125" s="3" t="n">
        <v>14</v>
      </c>
      <c r="G125" s="23" t="n">
        <v>0</v>
      </c>
      <c r="H125" s="24" t="n">
        <v>45613</v>
      </c>
      <c r="I125" s="22" t="n">
        <v>179.51</v>
      </c>
      <c r="J125" s="25" t="n">
        <f aca="true">NOW()</f>
        <v>46303.4329743222</v>
      </c>
      <c r="K125" s="26" t="n">
        <f aca="false">SUMIF($A$2:$A$201,A125,$E$2:$E$201)</f>
        <v>4640.11</v>
      </c>
      <c r="L125" s="26" t="n">
        <f aca="false">SUMIF($A$2:$A$201,A125,$I$2:$I$201)</f>
        <v>1721.12</v>
      </c>
    </row>
    <row r="126" customFormat="false" ht="15.75" hidden="false" customHeight="true" outlineLevel="0" collapsed="false">
      <c r="A126" s="3" t="s">
        <v>104</v>
      </c>
      <c r="B126" s="3" t="s">
        <v>52</v>
      </c>
      <c r="C126" s="3" t="s">
        <v>67</v>
      </c>
      <c r="D126" s="3" t="s">
        <v>17</v>
      </c>
      <c r="E126" s="22" t="n">
        <v>1277.85</v>
      </c>
      <c r="F126" s="3" t="n">
        <v>18</v>
      </c>
      <c r="G126" s="23" t="n">
        <v>0.2</v>
      </c>
      <c r="H126" s="24" t="n">
        <v>45613</v>
      </c>
      <c r="I126" s="22" t="n">
        <v>511.14</v>
      </c>
      <c r="J126" s="25" t="n">
        <f aca="true">NOW()</f>
        <v>46303.4329743219</v>
      </c>
      <c r="K126" s="26" t="n">
        <f aca="false">SUMIF($A$2:$A$201,A126,$E$2:$E$201)</f>
        <v>7813.59</v>
      </c>
      <c r="L126" s="26" t="n">
        <f aca="false">SUMIF($A$2:$A$201,A126,$I$2:$I$201)</f>
        <v>3211.82</v>
      </c>
    </row>
    <row r="127" customFormat="false" ht="15.75" hidden="false" customHeight="true" outlineLevel="0" collapsed="false">
      <c r="A127" s="3" t="s">
        <v>102</v>
      </c>
      <c r="B127" s="3" t="s">
        <v>57</v>
      </c>
      <c r="C127" s="3" t="s">
        <v>58</v>
      </c>
      <c r="D127" s="3" t="s">
        <v>18</v>
      </c>
      <c r="E127" s="22" t="n">
        <v>706.73</v>
      </c>
      <c r="F127" s="3" t="n">
        <v>1</v>
      </c>
      <c r="G127" s="23" t="n">
        <v>0.15</v>
      </c>
      <c r="H127" s="24" t="n">
        <v>45613</v>
      </c>
      <c r="I127" s="22" t="n">
        <v>150.18</v>
      </c>
      <c r="J127" s="25" t="n">
        <f aca="true">NOW()</f>
        <v>46303.4329743222</v>
      </c>
      <c r="K127" s="26" t="n">
        <f aca="false">SUMIF($A$2:$A$201,A127,$E$2:$E$201)</f>
        <v>7583.13</v>
      </c>
      <c r="L127" s="26" t="n">
        <f aca="false">SUMIF($A$2:$A$201,A127,$I$2:$I$201)</f>
        <v>2492.1</v>
      </c>
    </row>
    <row r="128" customFormat="false" ht="15.75" hidden="false" customHeight="true" outlineLevel="0" collapsed="false">
      <c r="A128" s="3" t="s">
        <v>97</v>
      </c>
      <c r="B128" s="3" t="s">
        <v>82</v>
      </c>
      <c r="C128" s="3" t="s">
        <v>53</v>
      </c>
      <c r="D128" s="3" t="s">
        <v>18</v>
      </c>
      <c r="E128" s="22" t="n">
        <v>1410.59</v>
      </c>
      <c r="F128" s="3" t="n">
        <v>15</v>
      </c>
      <c r="G128" s="23" t="n">
        <v>0</v>
      </c>
      <c r="H128" s="24" t="n">
        <v>45615</v>
      </c>
      <c r="I128" s="22" t="n">
        <v>352.65</v>
      </c>
      <c r="J128" s="25" t="n">
        <f aca="true">NOW()</f>
        <v>46303.4329743222</v>
      </c>
      <c r="K128" s="26" t="n">
        <f aca="false">SUMIF($A$2:$A$201,A128,$E$2:$E$201)</f>
        <v>6481.43</v>
      </c>
      <c r="L128" s="26" t="n">
        <f aca="false">SUMIF($A$2:$A$201,A128,$I$2:$I$201)</f>
        <v>2210.74</v>
      </c>
    </row>
    <row r="129" customFormat="false" ht="15.75" hidden="false" customHeight="true" outlineLevel="0" collapsed="false">
      <c r="A129" s="3" t="s">
        <v>65</v>
      </c>
      <c r="B129" s="3" t="s">
        <v>93</v>
      </c>
      <c r="C129" s="3" t="s">
        <v>55</v>
      </c>
      <c r="D129" s="3" t="s">
        <v>19</v>
      </c>
      <c r="E129" s="22" t="n">
        <v>1350.33</v>
      </c>
      <c r="F129" s="3" t="n">
        <v>10</v>
      </c>
      <c r="G129" s="23" t="n">
        <v>0</v>
      </c>
      <c r="H129" s="24" t="n">
        <v>45615</v>
      </c>
      <c r="I129" s="22" t="n">
        <v>472.62</v>
      </c>
      <c r="J129" s="25" t="n">
        <f aca="true">NOW()</f>
        <v>46303.4329743219</v>
      </c>
      <c r="K129" s="26" t="n">
        <f aca="false">SUMIF($A$2:$A$201,A129,$E$2:$E$201)</f>
        <v>6505.2</v>
      </c>
      <c r="L129" s="26" t="n">
        <f aca="false">SUMIF($A$2:$A$201,A129,$I$2:$I$201)</f>
        <v>2052.54</v>
      </c>
    </row>
    <row r="130" customFormat="false" ht="15.75" hidden="false" customHeight="true" outlineLevel="0" collapsed="false">
      <c r="A130" s="3" t="s">
        <v>73</v>
      </c>
      <c r="B130" s="3" t="s">
        <v>77</v>
      </c>
      <c r="C130" s="3" t="s">
        <v>53</v>
      </c>
      <c r="D130" s="3" t="s">
        <v>18</v>
      </c>
      <c r="E130" s="22" t="n">
        <v>919.18</v>
      </c>
      <c r="F130" s="3" t="n">
        <v>4</v>
      </c>
      <c r="G130" s="23" t="n">
        <v>0.15</v>
      </c>
      <c r="H130" s="24" t="n">
        <v>45615</v>
      </c>
      <c r="I130" s="22" t="n">
        <v>195.33</v>
      </c>
      <c r="J130" s="25" t="n">
        <f aca="true">NOW()</f>
        <v>46303.4329743222</v>
      </c>
      <c r="K130" s="26" t="n">
        <f aca="false">SUMIF($A$2:$A$201,A130,$E$2:$E$201)</f>
        <v>5779.05</v>
      </c>
      <c r="L130" s="26" t="n">
        <f aca="false">SUMIF($A$2:$A$201,A130,$I$2:$I$201)</f>
        <v>1611.66</v>
      </c>
    </row>
    <row r="131" customFormat="false" ht="15.75" hidden="false" customHeight="true" outlineLevel="0" collapsed="false">
      <c r="A131" s="3" t="s">
        <v>106</v>
      </c>
      <c r="B131" s="3" t="s">
        <v>57</v>
      </c>
      <c r="C131" s="3" t="s">
        <v>48</v>
      </c>
      <c r="D131" s="3" t="s">
        <v>18</v>
      </c>
      <c r="E131" s="22" t="n">
        <v>258.51</v>
      </c>
      <c r="F131" s="3" t="n">
        <v>19</v>
      </c>
      <c r="G131" s="23" t="n">
        <v>0</v>
      </c>
      <c r="H131" s="24" t="n">
        <v>45616</v>
      </c>
      <c r="I131" s="22" t="n">
        <v>64.63</v>
      </c>
      <c r="J131" s="25" t="n">
        <f aca="true">NOW()</f>
        <v>46303.4329743222</v>
      </c>
      <c r="K131" s="26" t="n">
        <f aca="false">SUMIF($A$2:$A$201,A131,$E$2:$E$201)</f>
        <v>3906.04</v>
      </c>
      <c r="L131" s="26" t="n">
        <f aca="false">SUMIF($A$2:$A$201,A131,$I$2:$I$201)</f>
        <v>1240.65</v>
      </c>
    </row>
    <row r="132" customFormat="false" ht="15.75" hidden="false" customHeight="true" outlineLevel="0" collapsed="false">
      <c r="A132" s="3" t="s">
        <v>95</v>
      </c>
      <c r="B132" s="3" t="s">
        <v>93</v>
      </c>
      <c r="C132" s="3" t="s">
        <v>53</v>
      </c>
      <c r="D132" s="3" t="s">
        <v>16</v>
      </c>
      <c r="E132" s="22" t="n">
        <v>1213.48</v>
      </c>
      <c r="F132" s="3" t="n">
        <v>5</v>
      </c>
      <c r="G132" s="23" t="n">
        <v>0.05</v>
      </c>
      <c r="H132" s="24" t="n">
        <v>45616</v>
      </c>
      <c r="I132" s="22" t="n">
        <v>461.12</v>
      </c>
      <c r="J132" s="25" t="n">
        <f aca="true">NOW()</f>
        <v>46303.4329743219</v>
      </c>
      <c r="K132" s="26" t="n">
        <f aca="false">SUMIF($A$2:$A$201,A132,$E$2:$E$201)</f>
        <v>3762.29</v>
      </c>
      <c r="L132" s="26" t="n">
        <f aca="false">SUMIF($A$2:$A$201,A132,$I$2:$I$201)</f>
        <v>1545.04</v>
      </c>
    </row>
    <row r="133" customFormat="false" ht="15.75" hidden="false" customHeight="true" outlineLevel="0" collapsed="false">
      <c r="A133" s="3" t="s">
        <v>89</v>
      </c>
      <c r="B133" s="3" t="s">
        <v>71</v>
      </c>
      <c r="C133" s="3" t="s">
        <v>67</v>
      </c>
      <c r="D133" s="3" t="s">
        <v>16</v>
      </c>
      <c r="E133" s="22" t="n">
        <v>1150.28</v>
      </c>
      <c r="F133" s="3" t="n">
        <v>8</v>
      </c>
      <c r="G133" s="23" t="n">
        <v>0.05</v>
      </c>
      <c r="H133" s="24" t="n">
        <v>45622</v>
      </c>
      <c r="I133" s="22" t="n">
        <v>437.11</v>
      </c>
      <c r="J133" s="25" t="n">
        <f aca="true">NOW()</f>
        <v>46303.4329743223</v>
      </c>
      <c r="K133" s="26" t="n">
        <f aca="false">SUMIF($A$2:$A$201,A133,$E$2:$E$201)</f>
        <v>8740.18</v>
      </c>
      <c r="L133" s="26" t="n">
        <f aca="false">SUMIF($A$2:$A$201,A133,$I$2:$I$201)</f>
        <v>2848.62</v>
      </c>
    </row>
    <row r="134" customFormat="false" ht="15.75" hidden="false" customHeight="true" outlineLevel="0" collapsed="false">
      <c r="A134" s="3" t="s">
        <v>70</v>
      </c>
      <c r="B134" s="3" t="s">
        <v>103</v>
      </c>
      <c r="C134" s="3" t="s">
        <v>55</v>
      </c>
      <c r="D134" s="3" t="s">
        <v>19</v>
      </c>
      <c r="E134" s="22" t="n">
        <v>853.86</v>
      </c>
      <c r="F134" s="3" t="n">
        <v>8</v>
      </c>
      <c r="G134" s="23" t="n">
        <v>0.1</v>
      </c>
      <c r="H134" s="24" t="n">
        <v>45622</v>
      </c>
      <c r="I134" s="22" t="n">
        <v>268.97</v>
      </c>
      <c r="J134" s="25" t="n">
        <f aca="true">NOW()</f>
        <v>46303.4329743222</v>
      </c>
      <c r="K134" s="26" t="n">
        <f aca="false">SUMIF($A$2:$A$201,A134,$E$2:$E$201)</f>
        <v>6729.89</v>
      </c>
      <c r="L134" s="26" t="n">
        <f aca="false">SUMIF($A$2:$A$201,A134,$I$2:$I$201)</f>
        <v>2507.18</v>
      </c>
    </row>
    <row r="135" customFormat="false" ht="15.75" hidden="false" customHeight="true" outlineLevel="0" collapsed="false">
      <c r="A135" s="3" t="s">
        <v>107</v>
      </c>
      <c r="B135" s="3" t="s">
        <v>77</v>
      </c>
      <c r="C135" s="3" t="s">
        <v>55</v>
      </c>
      <c r="D135" s="3" t="s">
        <v>18</v>
      </c>
      <c r="E135" s="22" t="n">
        <v>1061.04</v>
      </c>
      <c r="F135" s="3" t="n">
        <v>1</v>
      </c>
      <c r="G135" s="23" t="n">
        <v>0</v>
      </c>
      <c r="H135" s="24" t="n">
        <v>45624</v>
      </c>
      <c r="I135" s="22" t="n">
        <v>265.26</v>
      </c>
      <c r="J135" s="25" t="n">
        <f aca="true">NOW()</f>
        <v>46303.432974322</v>
      </c>
      <c r="K135" s="26" t="n">
        <f aca="false">SUMIF($A$2:$A$201,A135,$E$2:$E$201)</f>
        <v>4951.89</v>
      </c>
      <c r="L135" s="26" t="n">
        <f aca="false">SUMIF($A$2:$A$201,A135,$I$2:$I$201)</f>
        <v>1821.64</v>
      </c>
    </row>
    <row r="136" customFormat="false" ht="15.75" hidden="false" customHeight="true" outlineLevel="0" collapsed="false">
      <c r="A136" s="3" t="s">
        <v>61</v>
      </c>
      <c r="B136" s="3" t="s">
        <v>75</v>
      </c>
      <c r="C136" s="3" t="s">
        <v>48</v>
      </c>
      <c r="D136" s="3" t="s">
        <v>18</v>
      </c>
      <c r="E136" s="22" t="n">
        <v>894.55</v>
      </c>
      <c r="F136" s="3" t="n">
        <v>19</v>
      </c>
      <c r="G136" s="23" t="n">
        <v>0.2</v>
      </c>
      <c r="H136" s="24" t="n">
        <v>45625</v>
      </c>
      <c r="I136" s="22" t="n">
        <v>178.91</v>
      </c>
      <c r="J136" s="25" t="n">
        <f aca="true">NOW()</f>
        <v>46303.4329743223</v>
      </c>
      <c r="K136" s="26" t="n">
        <f aca="false">SUMIF($A$2:$A$201,A136,$E$2:$E$201)</f>
        <v>6549.55</v>
      </c>
      <c r="L136" s="26" t="n">
        <f aca="false">SUMIF($A$2:$A$201,A136,$I$2:$I$201)</f>
        <v>1868.77</v>
      </c>
    </row>
    <row r="137" customFormat="false" ht="15.75" hidden="false" customHeight="true" outlineLevel="0" collapsed="false">
      <c r="A137" s="3" t="s">
        <v>59</v>
      </c>
      <c r="B137" s="3" t="s">
        <v>71</v>
      </c>
      <c r="C137" s="3" t="s">
        <v>58</v>
      </c>
      <c r="D137" s="3" t="s">
        <v>20</v>
      </c>
      <c r="E137" s="22" t="n">
        <v>833.91</v>
      </c>
      <c r="F137" s="3" t="n">
        <v>3</v>
      </c>
      <c r="G137" s="23" t="n">
        <v>0.05</v>
      </c>
      <c r="H137" s="24" t="n">
        <v>45626</v>
      </c>
      <c r="I137" s="22" t="n">
        <v>356.5</v>
      </c>
      <c r="J137" s="25" t="n">
        <f aca="true">NOW()</f>
        <v>46303.4329743222</v>
      </c>
      <c r="K137" s="26" t="n">
        <f aca="false">SUMIF($A$2:$A$201,A137,$E$2:$E$201)</f>
        <v>9941.88</v>
      </c>
      <c r="L137" s="26" t="n">
        <f aca="false">SUMIF($A$2:$A$201,A137,$I$2:$I$201)</f>
        <v>3936.26</v>
      </c>
    </row>
    <row r="138" customFormat="false" ht="15.75" hidden="false" customHeight="true" outlineLevel="0" collapsed="false">
      <c r="A138" s="3" t="s">
        <v>90</v>
      </c>
      <c r="B138" s="3" t="s">
        <v>103</v>
      </c>
      <c r="C138" s="3" t="s">
        <v>48</v>
      </c>
      <c r="D138" s="3" t="s">
        <v>19</v>
      </c>
      <c r="E138" s="22" t="n">
        <v>820.19</v>
      </c>
      <c r="F138" s="3" t="n">
        <v>4</v>
      </c>
      <c r="G138" s="23" t="n">
        <v>0.2</v>
      </c>
      <c r="H138" s="24" t="n">
        <v>45630</v>
      </c>
      <c r="I138" s="22" t="n">
        <v>229.65</v>
      </c>
      <c r="J138" s="25" t="n">
        <f aca="true">NOW()</f>
        <v>46303.432974322</v>
      </c>
      <c r="K138" s="26" t="n">
        <f aca="false">SUMIF($A$2:$A$201,A138,$E$2:$E$201)</f>
        <v>11611.06</v>
      </c>
      <c r="L138" s="26" t="n">
        <f aca="false">SUMIF($A$2:$A$201,A138,$I$2:$I$201)</f>
        <v>4201.59</v>
      </c>
    </row>
    <row r="139" customFormat="false" ht="15.75" hidden="false" customHeight="true" outlineLevel="0" collapsed="false">
      <c r="A139" s="3" t="s">
        <v>90</v>
      </c>
      <c r="B139" s="3" t="s">
        <v>71</v>
      </c>
      <c r="C139" s="3" t="s">
        <v>67</v>
      </c>
      <c r="D139" s="3" t="s">
        <v>18</v>
      </c>
      <c r="E139" s="22" t="n">
        <v>511.74</v>
      </c>
      <c r="F139" s="3" t="n">
        <v>8</v>
      </c>
      <c r="G139" s="23" t="n">
        <v>0.05</v>
      </c>
      <c r="H139" s="24" t="n">
        <v>45631</v>
      </c>
      <c r="I139" s="22" t="n">
        <v>121.54</v>
      </c>
      <c r="J139" s="25" t="n">
        <f aca="true">NOW()</f>
        <v>46303.4329743223</v>
      </c>
      <c r="K139" s="26" t="n">
        <f aca="false">SUMIF($A$2:$A$201,A139,$E$2:$E$201)</f>
        <v>11611.06</v>
      </c>
      <c r="L139" s="26" t="n">
        <f aca="false">SUMIF($A$2:$A$201,A139,$I$2:$I$201)</f>
        <v>4201.59</v>
      </c>
    </row>
    <row r="140" customFormat="false" ht="15.75" hidden="false" customHeight="true" outlineLevel="0" collapsed="false">
      <c r="A140" s="3" t="s">
        <v>97</v>
      </c>
      <c r="B140" s="3" t="s">
        <v>93</v>
      </c>
      <c r="C140" s="3" t="s">
        <v>55</v>
      </c>
      <c r="D140" s="3" t="s">
        <v>19</v>
      </c>
      <c r="E140" s="22" t="n">
        <v>806.03</v>
      </c>
      <c r="F140" s="3" t="n">
        <v>19</v>
      </c>
      <c r="G140" s="23" t="n">
        <v>0.05</v>
      </c>
      <c r="H140" s="24" t="n">
        <v>45638</v>
      </c>
      <c r="I140" s="22" t="n">
        <v>268</v>
      </c>
      <c r="J140" s="25" t="n">
        <f aca="true">NOW()</f>
        <v>46303.4329743222</v>
      </c>
      <c r="K140" s="26" t="n">
        <f aca="false">SUMIF($A$2:$A$201,A140,$E$2:$E$201)</f>
        <v>6481.43</v>
      </c>
      <c r="L140" s="26" t="n">
        <f aca="false">SUMIF($A$2:$A$201,A140,$I$2:$I$201)</f>
        <v>2210.74</v>
      </c>
    </row>
    <row r="141" customFormat="false" ht="15.75" hidden="false" customHeight="true" outlineLevel="0" collapsed="false">
      <c r="A141" s="3" t="s">
        <v>61</v>
      </c>
      <c r="B141" s="3" t="s">
        <v>60</v>
      </c>
      <c r="C141" s="3" t="s">
        <v>67</v>
      </c>
      <c r="D141" s="3" t="s">
        <v>19</v>
      </c>
      <c r="E141" s="22" t="n">
        <v>1432.47</v>
      </c>
      <c r="F141" s="3" t="n">
        <v>16</v>
      </c>
      <c r="G141" s="23" t="n">
        <v>0.15</v>
      </c>
      <c r="H141" s="24" t="n">
        <v>45640</v>
      </c>
      <c r="I141" s="22" t="n">
        <v>426.16</v>
      </c>
      <c r="J141" s="25" t="n">
        <f aca="true">NOW()</f>
        <v>46303.432974322</v>
      </c>
      <c r="K141" s="26" t="n">
        <f aca="false">SUMIF($A$2:$A$201,A141,$E$2:$E$201)</f>
        <v>6549.55</v>
      </c>
      <c r="L141" s="26" t="n">
        <f aca="false">SUMIF($A$2:$A$201,A141,$I$2:$I$201)</f>
        <v>1868.77</v>
      </c>
    </row>
    <row r="142" customFormat="false" ht="15.75" hidden="false" customHeight="true" outlineLevel="0" collapsed="false">
      <c r="A142" s="3" t="s">
        <v>106</v>
      </c>
      <c r="B142" s="3" t="s">
        <v>62</v>
      </c>
      <c r="C142" s="3" t="s">
        <v>67</v>
      </c>
      <c r="D142" s="3" t="s">
        <v>18</v>
      </c>
      <c r="E142" s="22" t="n">
        <v>1488.58</v>
      </c>
      <c r="F142" s="3" t="n">
        <v>10</v>
      </c>
      <c r="G142" s="23" t="n">
        <v>0.15</v>
      </c>
      <c r="H142" s="24" t="n">
        <v>45640</v>
      </c>
      <c r="I142" s="22" t="n">
        <v>316.32</v>
      </c>
      <c r="J142" s="25" t="n">
        <f aca="true">NOW()</f>
        <v>46303.4329743223</v>
      </c>
      <c r="K142" s="26" t="n">
        <f aca="false">SUMIF($A$2:$A$201,A142,$E$2:$E$201)</f>
        <v>3906.04</v>
      </c>
      <c r="L142" s="26" t="n">
        <f aca="false">SUMIF($A$2:$A$201,A142,$I$2:$I$201)</f>
        <v>1240.65</v>
      </c>
    </row>
    <row r="143" customFormat="false" ht="15.75" hidden="false" customHeight="true" outlineLevel="0" collapsed="false">
      <c r="A143" s="3" t="s">
        <v>63</v>
      </c>
      <c r="B143" s="3" t="s">
        <v>98</v>
      </c>
      <c r="C143" s="3" t="s">
        <v>53</v>
      </c>
      <c r="D143" s="3" t="s">
        <v>16</v>
      </c>
      <c r="E143" s="22" t="n">
        <v>1231.26</v>
      </c>
      <c r="F143" s="3" t="n">
        <v>9</v>
      </c>
      <c r="G143" s="23" t="n">
        <v>0</v>
      </c>
      <c r="H143" s="24" t="n">
        <v>45646</v>
      </c>
      <c r="I143" s="22" t="n">
        <v>492.5</v>
      </c>
      <c r="J143" s="25" t="n">
        <f aca="true">NOW()</f>
        <v>46303.4329743222</v>
      </c>
      <c r="K143" s="26" t="n">
        <f aca="false">SUMIF($A$2:$A$201,A143,$E$2:$E$201)</f>
        <v>9371.81</v>
      </c>
      <c r="L143" s="26" t="n">
        <f aca="false">SUMIF($A$2:$A$201,A143,$I$2:$I$201)</f>
        <v>2922.02</v>
      </c>
    </row>
    <row r="144" customFormat="false" ht="15.75" hidden="false" customHeight="true" outlineLevel="0" collapsed="false">
      <c r="A144" s="3" t="s">
        <v>63</v>
      </c>
      <c r="B144" s="3" t="s">
        <v>75</v>
      </c>
      <c r="C144" s="3" t="s">
        <v>48</v>
      </c>
      <c r="D144" s="3" t="s">
        <v>18</v>
      </c>
      <c r="E144" s="22" t="n">
        <v>1161.67</v>
      </c>
      <c r="F144" s="3" t="n">
        <v>19</v>
      </c>
      <c r="G144" s="23" t="n">
        <v>0.2</v>
      </c>
      <c r="H144" s="24" t="n">
        <v>45647</v>
      </c>
      <c r="I144" s="22" t="n">
        <v>232.33</v>
      </c>
      <c r="J144" s="25" t="n">
        <f aca="true">NOW()</f>
        <v>46303.432974322</v>
      </c>
      <c r="K144" s="26" t="n">
        <f aca="false">SUMIF($A$2:$A$201,A144,$E$2:$E$201)</f>
        <v>9371.81</v>
      </c>
      <c r="L144" s="26" t="n">
        <f aca="false">SUMIF($A$2:$A$201,A144,$I$2:$I$201)</f>
        <v>2922.02</v>
      </c>
    </row>
    <row r="145" customFormat="false" ht="15.75" hidden="false" customHeight="true" outlineLevel="0" collapsed="false">
      <c r="A145" s="3" t="s">
        <v>81</v>
      </c>
      <c r="B145" s="3" t="s">
        <v>77</v>
      </c>
      <c r="C145" s="3" t="s">
        <v>67</v>
      </c>
      <c r="D145" s="3" t="s">
        <v>20</v>
      </c>
      <c r="E145" s="22" t="n">
        <v>388.23</v>
      </c>
      <c r="F145" s="3" t="n">
        <v>16</v>
      </c>
      <c r="G145" s="23" t="n">
        <v>0.05</v>
      </c>
      <c r="H145" s="24" t="n">
        <v>45650</v>
      </c>
      <c r="I145" s="22" t="n">
        <v>165.97</v>
      </c>
      <c r="J145" s="25" t="n">
        <f aca="true">NOW()</f>
        <v>46303.4329743223</v>
      </c>
      <c r="K145" s="26" t="n">
        <f aca="false">SUMIF($A$2:$A$201,A145,$E$2:$E$201)</f>
        <v>4418.28</v>
      </c>
      <c r="L145" s="26" t="n">
        <f aca="false">SUMIF($A$2:$A$201,A145,$I$2:$I$201)</f>
        <v>1605.23</v>
      </c>
    </row>
    <row r="146" customFormat="false" ht="15.75" hidden="false" customHeight="true" outlineLevel="0" collapsed="false">
      <c r="A146" s="3" t="s">
        <v>104</v>
      </c>
      <c r="B146" s="3" t="s">
        <v>64</v>
      </c>
      <c r="C146" s="3" t="s">
        <v>58</v>
      </c>
      <c r="D146" s="3" t="s">
        <v>17</v>
      </c>
      <c r="E146" s="22" t="n">
        <v>1589.42</v>
      </c>
      <c r="F146" s="3" t="n">
        <v>6</v>
      </c>
      <c r="G146" s="23" t="n">
        <v>0.15</v>
      </c>
      <c r="H146" s="24" t="n">
        <v>45651</v>
      </c>
      <c r="I146" s="22" t="n">
        <v>675.5</v>
      </c>
      <c r="J146" s="25" t="n">
        <f aca="true">NOW()</f>
        <v>46303.4329743222</v>
      </c>
      <c r="K146" s="26" t="n">
        <f aca="false">SUMIF($A$2:$A$201,A146,$E$2:$E$201)</f>
        <v>7813.59</v>
      </c>
      <c r="L146" s="26" t="n">
        <f aca="false">SUMIF($A$2:$A$201,A146,$I$2:$I$201)</f>
        <v>3211.82</v>
      </c>
    </row>
    <row r="147" customFormat="false" ht="15.75" hidden="false" customHeight="true" outlineLevel="0" collapsed="false">
      <c r="A147" s="3" t="s">
        <v>61</v>
      </c>
      <c r="B147" s="3" t="s">
        <v>103</v>
      </c>
      <c r="C147" s="3" t="s">
        <v>58</v>
      </c>
      <c r="D147" s="3" t="s">
        <v>17</v>
      </c>
      <c r="E147" s="22" t="n">
        <v>336.66</v>
      </c>
      <c r="F147" s="3" t="n">
        <v>13</v>
      </c>
      <c r="G147" s="23" t="n">
        <v>0.2</v>
      </c>
      <c r="H147" s="24" t="n">
        <v>45651</v>
      </c>
      <c r="I147" s="22" t="n">
        <v>134.66</v>
      </c>
      <c r="J147" s="25" t="n">
        <f aca="true">NOW()</f>
        <v>46303.432974322</v>
      </c>
      <c r="K147" s="26" t="n">
        <f aca="false">SUMIF($A$2:$A$201,A147,$E$2:$E$201)</f>
        <v>6549.55</v>
      </c>
      <c r="L147" s="26" t="n">
        <f aca="false">SUMIF($A$2:$A$201,A147,$I$2:$I$201)</f>
        <v>1868.77</v>
      </c>
    </row>
    <row r="148" customFormat="false" ht="15.75" hidden="false" customHeight="true" outlineLevel="0" collapsed="false">
      <c r="A148" s="3" t="s">
        <v>81</v>
      </c>
      <c r="B148" s="3" t="s">
        <v>57</v>
      </c>
      <c r="C148" s="3" t="s">
        <v>48</v>
      </c>
      <c r="D148" s="3" t="s">
        <v>16</v>
      </c>
      <c r="E148" s="22" t="n">
        <v>1353.79</v>
      </c>
      <c r="F148" s="3" t="n">
        <v>14</v>
      </c>
      <c r="G148" s="23" t="n">
        <v>0.1</v>
      </c>
      <c r="H148" s="24" t="n">
        <v>45656</v>
      </c>
      <c r="I148" s="22" t="n">
        <v>487.36</v>
      </c>
      <c r="J148" s="25" t="n">
        <f aca="true">NOW()</f>
        <v>46303.4329743223</v>
      </c>
      <c r="K148" s="26" t="n">
        <f aca="false">SUMIF($A$2:$A$201,A148,$E$2:$E$201)</f>
        <v>4418.28</v>
      </c>
      <c r="L148" s="26" t="n">
        <f aca="false">SUMIF($A$2:$A$201,A148,$I$2:$I$201)</f>
        <v>1605.23</v>
      </c>
    </row>
    <row r="149" customFormat="false" ht="15.75" hidden="false" customHeight="true" outlineLevel="0" collapsed="false">
      <c r="A149" s="3" t="s">
        <v>95</v>
      </c>
      <c r="B149" s="3" t="s">
        <v>101</v>
      </c>
      <c r="C149" s="3" t="s">
        <v>67</v>
      </c>
      <c r="D149" s="3" t="s">
        <v>17</v>
      </c>
      <c r="E149" s="22" t="n">
        <v>662.61</v>
      </c>
      <c r="F149" s="3" t="n">
        <v>11</v>
      </c>
      <c r="G149" s="23" t="n">
        <v>0.05</v>
      </c>
      <c r="H149" s="24" t="n">
        <v>45658</v>
      </c>
      <c r="I149" s="22" t="n">
        <v>314.74</v>
      </c>
      <c r="J149" s="25" t="n">
        <f aca="true">NOW()</f>
        <v>46303.4329743222</v>
      </c>
      <c r="K149" s="26" t="n">
        <f aca="false">SUMIF($A$2:$A$201,A149,$E$2:$E$201)</f>
        <v>3762.29</v>
      </c>
      <c r="L149" s="26" t="n">
        <f aca="false">SUMIF($A$2:$A$201,A149,$I$2:$I$201)</f>
        <v>1545.04</v>
      </c>
    </row>
    <row r="150" customFormat="false" ht="15.75" hidden="false" customHeight="true" outlineLevel="0" collapsed="false">
      <c r="A150" s="3" t="s">
        <v>84</v>
      </c>
      <c r="B150" s="3" t="s">
        <v>80</v>
      </c>
      <c r="C150" s="3" t="s">
        <v>58</v>
      </c>
      <c r="D150" s="3" t="s">
        <v>20</v>
      </c>
      <c r="E150" s="22" t="n">
        <v>309.42</v>
      </c>
      <c r="F150" s="3" t="n">
        <v>1</v>
      </c>
      <c r="G150" s="23" t="n">
        <v>0.2</v>
      </c>
      <c r="H150" s="24" t="n">
        <v>45658</v>
      </c>
      <c r="I150" s="22" t="n">
        <v>111.39</v>
      </c>
      <c r="J150" s="25" t="n">
        <f aca="true">NOW()</f>
        <v>46303.4329743222</v>
      </c>
      <c r="K150" s="26" t="n">
        <f aca="false">SUMIF($A$2:$A$201,A150,$E$2:$E$201)</f>
        <v>10293.87</v>
      </c>
      <c r="L150" s="26" t="n">
        <f aca="false">SUMIF($A$2:$A$201,A150,$I$2:$I$201)</f>
        <v>3541.02</v>
      </c>
    </row>
    <row r="151" customFormat="false" ht="15.75" hidden="false" customHeight="true" outlineLevel="0" collapsed="false">
      <c r="A151" s="3" t="s">
        <v>95</v>
      </c>
      <c r="B151" s="3" t="s">
        <v>62</v>
      </c>
      <c r="C151" s="3" t="s">
        <v>58</v>
      </c>
      <c r="D151" s="3" t="s">
        <v>16</v>
      </c>
      <c r="E151" s="22" t="n">
        <v>884.63</v>
      </c>
      <c r="F151" s="3" t="n">
        <v>18</v>
      </c>
      <c r="G151" s="23" t="n">
        <v>0.1</v>
      </c>
      <c r="H151" s="24" t="n">
        <v>45659</v>
      </c>
      <c r="I151" s="22" t="n">
        <v>318.47</v>
      </c>
      <c r="J151" s="25" t="n">
        <f aca="true">NOW()</f>
        <v>46303.4329743223</v>
      </c>
      <c r="K151" s="26" t="n">
        <f aca="false">SUMIF($A$2:$A$201,A151,$E$2:$E$201)</f>
        <v>3762.29</v>
      </c>
      <c r="L151" s="26" t="n">
        <f aca="false">SUMIF($A$2:$A$201,A151,$I$2:$I$201)</f>
        <v>1545.04</v>
      </c>
    </row>
    <row r="152" customFormat="false" ht="15.75" hidden="false" customHeight="true" outlineLevel="0" collapsed="false">
      <c r="A152" s="3" t="s">
        <v>84</v>
      </c>
      <c r="B152" s="3" t="s">
        <v>57</v>
      </c>
      <c r="C152" s="3" t="s">
        <v>67</v>
      </c>
      <c r="D152" s="3" t="s">
        <v>20</v>
      </c>
      <c r="E152" s="22" t="n">
        <v>745.05</v>
      </c>
      <c r="F152" s="3" t="n">
        <v>10</v>
      </c>
      <c r="G152" s="23" t="n">
        <v>0.1</v>
      </c>
      <c r="H152" s="24" t="n">
        <v>45660</v>
      </c>
      <c r="I152" s="22" t="n">
        <v>301.75</v>
      </c>
      <c r="J152" s="25" t="n">
        <f aca="true">NOW()</f>
        <v>46303.4329743222</v>
      </c>
      <c r="K152" s="26" t="n">
        <f aca="false">SUMIF($A$2:$A$201,A152,$E$2:$E$201)</f>
        <v>10293.87</v>
      </c>
      <c r="L152" s="26" t="n">
        <f aca="false">SUMIF($A$2:$A$201,A152,$I$2:$I$201)</f>
        <v>3541.02</v>
      </c>
    </row>
    <row r="153" customFormat="false" ht="15.75" hidden="false" customHeight="true" outlineLevel="0" collapsed="false">
      <c r="A153" s="3" t="s">
        <v>92</v>
      </c>
      <c r="B153" s="3" t="s">
        <v>52</v>
      </c>
      <c r="C153" s="3" t="s">
        <v>55</v>
      </c>
      <c r="D153" s="3" t="s">
        <v>17</v>
      </c>
      <c r="E153" s="22" t="n">
        <v>870.23</v>
      </c>
      <c r="F153" s="3" t="n">
        <v>5</v>
      </c>
      <c r="G153" s="23" t="n">
        <v>0.05</v>
      </c>
      <c r="H153" s="24" t="n">
        <v>45660</v>
      </c>
      <c r="I153" s="22" t="n">
        <v>413.36</v>
      </c>
      <c r="J153" s="25" t="n">
        <f aca="true">NOW()</f>
        <v>46303.4329743223</v>
      </c>
      <c r="K153" s="26" t="n">
        <f aca="false">SUMIF($A$2:$A$201,A153,$E$2:$E$201)</f>
        <v>3369.17</v>
      </c>
      <c r="L153" s="26" t="n">
        <f aca="false">SUMIF($A$2:$A$201,A153,$I$2:$I$201)</f>
        <v>1497.25</v>
      </c>
    </row>
    <row r="154" customFormat="false" ht="15.75" hidden="false" customHeight="true" outlineLevel="0" collapsed="false">
      <c r="A154" s="3" t="s">
        <v>68</v>
      </c>
      <c r="B154" s="3" t="s">
        <v>62</v>
      </c>
      <c r="C154" s="3" t="s">
        <v>48</v>
      </c>
      <c r="D154" s="3" t="s">
        <v>19</v>
      </c>
      <c r="E154" s="22" t="n">
        <v>862.19</v>
      </c>
      <c r="F154" s="3" t="n">
        <v>18</v>
      </c>
      <c r="G154" s="23" t="n">
        <v>0.05</v>
      </c>
      <c r="H154" s="24" t="n">
        <v>45663</v>
      </c>
      <c r="I154" s="22" t="n">
        <v>286.68</v>
      </c>
      <c r="J154" s="25" t="n">
        <f aca="true">NOW()</f>
        <v>46303.4329743223</v>
      </c>
      <c r="K154" s="26" t="n">
        <f aca="false">SUMIF($A$2:$A$201,A154,$E$2:$E$201)</f>
        <v>4259.22</v>
      </c>
      <c r="L154" s="26" t="n">
        <f aca="false">SUMIF($A$2:$A$201,A154,$I$2:$I$201)</f>
        <v>1529.32</v>
      </c>
    </row>
    <row r="155" customFormat="false" ht="15.75" hidden="false" customHeight="true" outlineLevel="0" collapsed="false">
      <c r="A155" s="3" t="s">
        <v>105</v>
      </c>
      <c r="B155" s="3" t="s">
        <v>91</v>
      </c>
      <c r="C155" s="3" t="s">
        <v>58</v>
      </c>
      <c r="D155" s="3" t="s">
        <v>17</v>
      </c>
      <c r="E155" s="22" t="n">
        <v>1171.18</v>
      </c>
      <c r="F155" s="3" t="n">
        <v>19</v>
      </c>
      <c r="G155" s="23" t="n">
        <v>0.05</v>
      </c>
      <c r="H155" s="24" t="n">
        <v>45667</v>
      </c>
      <c r="I155" s="22" t="n">
        <v>556.31</v>
      </c>
      <c r="J155" s="25" t="n">
        <f aca="true">NOW()</f>
        <v>46303.4329743222</v>
      </c>
      <c r="K155" s="26" t="n">
        <f aca="false">SUMIF($A$2:$A$201,A155,$E$2:$E$201)</f>
        <v>4162.44</v>
      </c>
      <c r="L155" s="26" t="n">
        <f aca="false">SUMIF($A$2:$A$201,A155,$I$2:$I$201)</f>
        <v>1605.11</v>
      </c>
    </row>
    <row r="156" customFormat="false" ht="15.75" hidden="false" customHeight="true" outlineLevel="0" collapsed="false">
      <c r="A156" s="3" t="s">
        <v>90</v>
      </c>
      <c r="B156" s="3" t="s">
        <v>50</v>
      </c>
      <c r="C156" s="3" t="s">
        <v>55</v>
      </c>
      <c r="D156" s="3" t="s">
        <v>19</v>
      </c>
      <c r="E156" s="22" t="n">
        <v>1054.56</v>
      </c>
      <c r="F156" s="3" t="n">
        <v>11</v>
      </c>
      <c r="G156" s="23" t="n">
        <v>0.1</v>
      </c>
      <c r="H156" s="24" t="n">
        <v>45669</v>
      </c>
      <c r="I156" s="22" t="n">
        <v>332.19</v>
      </c>
      <c r="J156" s="25" t="n">
        <f aca="true">NOW()</f>
        <v>46303.4329743223</v>
      </c>
      <c r="K156" s="26" t="n">
        <f aca="false">SUMIF($A$2:$A$201,A156,$E$2:$E$201)</f>
        <v>11611.06</v>
      </c>
      <c r="L156" s="26" t="n">
        <f aca="false">SUMIF($A$2:$A$201,A156,$I$2:$I$201)</f>
        <v>4201.59</v>
      </c>
    </row>
    <row r="157" customFormat="false" ht="15.75" hidden="false" customHeight="true" outlineLevel="0" collapsed="false">
      <c r="A157" s="3" t="s">
        <v>90</v>
      </c>
      <c r="B157" s="3" t="s">
        <v>57</v>
      </c>
      <c r="C157" s="3" t="s">
        <v>58</v>
      </c>
      <c r="D157" s="3" t="s">
        <v>18</v>
      </c>
      <c r="E157" s="22" t="n">
        <v>1681.21</v>
      </c>
      <c r="F157" s="3" t="n">
        <v>5</v>
      </c>
      <c r="G157" s="23" t="n">
        <v>0.2</v>
      </c>
      <c r="H157" s="24" t="n">
        <v>45670</v>
      </c>
      <c r="I157" s="22" t="n">
        <v>336.24</v>
      </c>
      <c r="J157" s="25" t="n">
        <f aca="true">NOW()</f>
        <v>46303.4329743223</v>
      </c>
      <c r="K157" s="26" t="n">
        <f aca="false">SUMIF($A$2:$A$201,A157,$E$2:$E$201)</f>
        <v>11611.06</v>
      </c>
      <c r="L157" s="26" t="n">
        <f aca="false">SUMIF($A$2:$A$201,A157,$I$2:$I$201)</f>
        <v>4201.59</v>
      </c>
    </row>
    <row r="158" customFormat="false" ht="15.75" hidden="false" customHeight="true" outlineLevel="0" collapsed="false">
      <c r="A158" s="3" t="s">
        <v>90</v>
      </c>
      <c r="B158" s="3" t="s">
        <v>69</v>
      </c>
      <c r="C158" s="3" t="s">
        <v>48</v>
      </c>
      <c r="D158" s="3" t="s">
        <v>17</v>
      </c>
      <c r="E158" s="22" t="n">
        <v>379.77</v>
      </c>
      <c r="F158" s="3" t="n">
        <v>9</v>
      </c>
      <c r="G158" s="23" t="n">
        <v>0.05</v>
      </c>
      <c r="H158" s="24" t="n">
        <v>45673</v>
      </c>
      <c r="I158" s="22" t="n">
        <v>180.39</v>
      </c>
      <c r="J158" s="25" t="n">
        <f aca="true">NOW()</f>
        <v>46303.4329743223</v>
      </c>
      <c r="K158" s="26" t="n">
        <f aca="false">SUMIF($A$2:$A$201,A158,$E$2:$E$201)</f>
        <v>11611.06</v>
      </c>
      <c r="L158" s="26" t="n">
        <f aca="false">SUMIF($A$2:$A$201,A158,$I$2:$I$201)</f>
        <v>4201.59</v>
      </c>
    </row>
    <row r="159" customFormat="false" ht="15.75" hidden="false" customHeight="true" outlineLevel="0" collapsed="false">
      <c r="A159" s="3" t="s">
        <v>76</v>
      </c>
      <c r="B159" s="3" t="s">
        <v>77</v>
      </c>
      <c r="C159" s="3" t="s">
        <v>67</v>
      </c>
      <c r="D159" s="3" t="s">
        <v>17</v>
      </c>
      <c r="E159" s="22" t="n">
        <v>1076.33</v>
      </c>
      <c r="F159" s="3" t="n">
        <v>2</v>
      </c>
      <c r="G159" s="23" t="n">
        <v>0.1</v>
      </c>
      <c r="H159" s="24" t="n">
        <v>45674</v>
      </c>
      <c r="I159" s="22" t="n">
        <v>484.35</v>
      </c>
      <c r="J159" s="25" t="n">
        <f aca="true">NOW()</f>
        <v>46303.4329743223</v>
      </c>
      <c r="K159" s="26" t="n">
        <f aca="false">SUMIF($A$2:$A$201,A159,$E$2:$E$201)</f>
        <v>9760.8</v>
      </c>
      <c r="L159" s="26" t="n">
        <f aca="false">SUMIF($A$2:$A$201,A159,$I$2:$I$201)</f>
        <v>3442.48</v>
      </c>
    </row>
    <row r="160" customFormat="false" ht="15.75" hidden="false" customHeight="true" outlineLevel="0" collapsed="false">
      <c r="A160" s="3" t="s">
        <v>76</v>
      </c>
      <c r="B160" s="3" t="s">
        <v>64</v>
      </c>
      <c r="C160" s="3" t="s">
        <v>67</v>
      </c>
      <c r="D160" s="3" t="s">
        <v>20</v>
      </c>
      <c r="E160" s="22" t="n">
        <v>1250.71</v>
      </c>
      <c r="F160" s="3" t="n">
        <v>7</v>
      </c>
      <c r="G160" s="23" t="n">
        <v>0</v>
      </c>
      <c r="H160" s="24" t="n">
        <v>45674</v>
      </c>
      <c r="I160" s="22" t="n">
        <v>562.82</v>
      </c>
      <c r="J160" s="25" t="n">
        <f aca="true">NOW()</f>
        <v>46303.4329743223</v>
      </c>
      <c r="K160" s="26" t="n">
        <f aca="false">SUMIF($A$2:$A$201,A160,$E$2:$E$201)</f>
        <v>9760.8</v>
      </c>
      <c r="L160" s="26" t="n">
        <f aca="false">SUMIF($A$2:$A$201,A160,$I$2:$I$201)</f>
        <v>3442.48</v>
      </c>
    </row>
    <row r="161" customFormat="false" ht="15.75" hidden="false" customHeight="true" outlineLevel="0" collapsed="false">
      <c r="A161" s="3" t="s">
        <v>72</v>
      </c>
      <c r="B161" s="3" t="s">
        <v>52</v>
      </c>
      <c r="C161" s="3" t="s">
        <v>55</v>
      </c>
      <c r="D161" s="3" t="s">
        <v>17</v>
      </c>
      <c r="E161" s="22" t="n">
        <v>1118.34</v>
      </c>
      <c r="F161" s="3" t="n">
        <v>6</v>
      </c>
      <c r="G161" s="23" t="n">
        <v>0.2</v>
      </c>
      <c r="H161" s="24" t="n">
        <v>45674</v>
      </c>
      <c r="I161" s="22" t="n">
        <v>447.34</v>
      </c>
      <c r="J161" s="25" t="n">
        <f aca="true">NOW()</f>
        <v>46303.4329743223</v>
      </c>
      <c r="K161" s="26" t="n">
        <f aca="false">SUMIF($A$2:$A$201,A161,$E$2:$E$201)</f>
        <v>5913.68</v>
      </c>
      <c r="L161" s="26" t="n">
        <f aca="false">SUMIF($A$2:$A$201,A161,$I$2:$I$201)</f>
        <v>2198.62</v>
      </c>
    </row>
    <row r="162" customFormat="false" ht="15.75" hidden="false" customHeight="true" outlineLevel="0" collapsed="false">
      <c r="A162" s="3" t="s">
        <v>102</v>
      </c>
      <c r="B162" s="3" t="s">
        <v>85</v>
      </c>
      <c r="C162" s="3" t="s">
        <v>58</v>
      </c>
      <c r="D162" s="3" t="s">
        <v>17</v>
      </c>
      <c r="E162" s="22" t="n">
        <v>1622.62</v>
      </c>
      <c r="F162" s="3" t="n">
        <v>12</v>
      </c>
      <c r="G162" s="23" t="n">
        <v>0.2</v>
      </c>
      <c r="H162" s="24" t="n">
        <v>45677</v>
      </c>
      <c r="I162" s="22" t="n">
        <v>649.05</v>
      </c>
      <c r="J162" s="25" t="n">
        <f aca="true">NOW()</f>
        <v>46303.4329743223</v>
      </c>
      <c r="K162" s="26" t="n">
        <f aca="false">SUMIF($A$2:$A$201,A162,$E$2:$E$201)</f>
        <v>7583.13</v>
      </c>
      <c r="L162" s="26" t="n">
        <f aca="false">SUMIF($A$2:$A$201,A162,$I$2:$I$201)</f>
        <v>2492.1</v>
      </c>
    </row>
    <row r="163" customFormat="false" ht="15.75" hidden="false" customHeight="true" outlineLevel="0" collapsed="false">
      <c r="A163" s="3" t="s">
        <v>107</v>
      </c>
      <c r="B163" s="3" t="s">
        <v>80</v>
      </c>
      <c r="C163" s="3" t="s">
        <v>58</v>
      </c>
      <c r="D163" s="3" t="s">
        <v>16</v>
      </c>
      <c r="E163" s="22" t="n">
        <v>640.64</v>
      </c>
      <c r="F163" s="3" t="n">
        <v>11</v>
      </c>
      <c r="G163" s="23" t="n">
        <v>0.2</v>
      </c>
      <c r="H163" s="24" t="n">
        <v>45678</v>
      </c>
      <c r="I163" s="22" t="n">
        <v>205</v>
      </c>
      <c r="J163" s="25" t="n">
        <f aca="true">NOW()</f>
        <v>46303.4329743224</v>
      </c>
      <c r="K163" s="26" t="n">
        <f aca="false">SUMIF($A$2:$A$201,A163,$E$2:$E$201)</f>
        <v>4951.89</v>
      </c>
      <c r="L163" s="26" t="n">
        <f aca="false">SUMIF($A$2:$A$201,A163,$I$2:$I$201)</f>
        <v>1821.64</v>
      </c>
    </row>
    <row r="164" customFormat="false" ht="15.75" hidden="false" customHeight="true" outlineLevel="0" collapsed="false">
      <c r="A164" s="3" t="s">
        <v>56</v>
      </c>
      <c r="B164" s="3" t="s">
        <v>75</v>
      </c>
      <c r="C164" s="3" t="s">
        <v>48</v>
      </c>
      <c r="D164" s="3" t="s">
        <v>17</v>
      </c>
      <c r="E164" s="22" t="n">
        <v>585.16</v>
      </c>
      <c r="F164" s="3" t="n">
        <v>17</v>
      </c>
      <c r="G164" s="23" t="n">
        <v>0.1</v>
      </c>
      <c r="H164" s="24" t="n">
        <v>45684</v>
      </c>
      <c r="I164" s="22" t="n">
        <v>263.32</v>
      </c>
      <c r="J164" s="25" t="n">
        <f aca="true">NOW()</f>
        <v>46303.4329743223</v>
      </c>
      <c r="K164" s="26" t="n">
        <f aca="false">SUMIF($A$2:$A$201,A164,$E$2:$E$201)</f>
        <v>7928.71</v>
      </c>
      <c r="L164" s="26" t="n">
        <f aca="false">SUMIF($A$2:$A$201,A164,$I$2:$I$201)</f>
        <v>2965.48</v>
      </c>
    </row>
    <row r="165" customFormat="false" ht="15.75" hidden="false" customHeight="true" outlineLevel="0" collapsed="false">
      <c r="A165" s="3" t="s">
        <v>56</v>
      </c>
      <c r="B165" s="3" t="s">
        <v>64</v>
      </c>
      <c r="C165" s="3" t="s">
        <v>53</v>
      </c>
      <c r="D165" s="3" t="s">
        <v>17</v>
      </c>
      <c r="E165" s="22" t="n">
        <v>1109.98</v>
      </c>
      <c r="F165" s="3" t="n">
        <v>5</v>
      </c>
      <c r="G165" s="23" t="n">
        <v>0.2</v>
      </c>
      <c r="H165" s="24" t="n">
        <v>45690</v>
      </c>
      <c r="I165" s="22" t="n">
        <v>443.99</v>
      </c>
      <c r="J165" s="25" t="n">
        <f aca="true">NOW()</f>
        <v>46303.4329743223</v>
      </c>
      <c r="K165" s="26" t="n">
        <f aca="false">SUMIF($A$2:$A$201,A165,$E$2:$E$201)</f>
        <v>7928.71</v>
      </c>
      <c r="L165" s="26" t="n">
        <f aca="false">SUMIF($A$2:$A$201,A165,$I$2:$I$201)</f>
        <v>2965.48</v>
      </c>
    </row>
    <row r="166" customFormat="false" ht="15.75" hidden="false" customHeight="true" outlineLevel="0" collapsed="false">
      <c r="A166" s="3" t="s">
        <v>90</v>
      </c>
      <c r="B166" s="3" t="s">
        <v>77</v>
      </c>
      <c r="C166" s="3" t="s">
        <v>53</v>
      </c>
      <c r="D166" s="3" t="s">
        <v>16</v>
      </c>
      <c r="E166" s="22" t="n">
        <v>1098.08</v>
      </c>
      <c r="F166" s="3" t="n">
        <v>9</v>
      </c>
      <c r="G166" s="23" t="n">
        <v>0.1</v>
      </c>
      <c r="H166" s="24" t="n">
        <v>45692</v>
      </c>
      <c r="I166" s="22" t="n">
        <v>395.31</v>
      </c>
      <c r="J166" s="25" t="n">
        <f aca="true">NOW()</f>
        <v>46303.4329743224</v>
      </c>
      <c r="K166" s="26" t="n">
        <f aca="false">SUMIF($A$2:$A$201,A166,$E$2:$E$201)</f>
        <v>11611.06</v>
      </c>
      <c r="L166" s="26" t="n">
        <f aca="false">SUMIF($A$2:$A$201,A166,$I$2:$I$201)</f>
        <v>4201.59</v>
      </c>
    </row>
    <row r="167" customFormat="false" ht="15.75" hidden="false" customHeight="true" outlineLevel="0" collapsed="false">
      <c r="A167" s="3" t="s">
        <v>97</v>
      </c>
      <c r="B167" s="3" t="s">
        <v>80</v>
      </c>
      <c r="C167" s="3" t="s">
        <v>48</v>
      </c>
      <c r="D167" s="3" t="s">
        <v>20</v>
      </c>
      <c r="E167" s="22" t="n">
        <v>827.25</v>
      </c>
      <c r="F167" s="3" t="n">
        <v>7</v>
      </c>
      <c r="G167" s="23" t="n">
        <v>0.1</v>
      </c>
      <c r="H167" s="24" t="n">
        <v>45693</v>
      </c>
      <c r="I167" s="22" t="n">
        <v>335.04</v>
      </c>
      <c r="J167" s="25" t="n">
        <f aca="true">NOW()</f>
        <v>46303.4329743223</v>
      </c>
      <c r="K167" s="26" t="n">
        <f aca="false">SUMIF($A$2:$A$201,A167,$E$2:$E$201)</f>
        <v>6481.43</v>
      </c>
      <c r="L167" s="26" t="n">
        <f aca="false">SUMIF($A$2:$A$201,A167,$I$2:$I$201)</f>
        <v>2210.74</v>
      </c>
    </row>
    <row r="168" customFormat="false" ht="15.75" hidden="false" customHeight="true" outlineLevel="0" collapsed="false">
      <c r="A168" s="3" t="s">
        <v>102</v>
      </c>
      <c r="B168" s="3" t="s">
        <v>62</v>
      </c>
      <c r="C168" s="3" t="s">
        <v>67</v>
      </c>
      <c r="D168" s="3" t="s">
        <v>17</v>
      </c>
      <c r="E168" s="22" t="n">
        <v>741.88</v>
      </c>
      <c r="F168" s="3" t="n">
        <v>16</v>
      </c>
      <c r="G168" s="23" t="n">
        <v>0.1</v>
      </c>
      <c r="H168" s="24" t="n">
        <v>45695</v>
      </c>
      <c r="I168" s="22" t="n">
        <v>333.85</v>
      </c>
      <c r="J168" s="25" t="n">
        <f aca="true">NOW()</f>
        <v>46303.4329743223</v>
      </c>
      <c r="K168" s="26" t="n">
        <f aca="false">SUMIF($A$2:$A$201,A168,$E$2:$E$201)</f>
        <v>7583.13</v>
      </c>
      <c r="L168" s="26" t="n">
        <f aca="false">SUMIF($A$2:$A$201,A168,$I$2:$I$201)</f>
        <v>2492.1</v>
      </c>
    </row>
    <row r="169" customFormat="false" ht="15.75" hidden="false" customHeight="true" outlineLevel="0" collapsed="false">
      <c r="A169" s="3" t="s">
        <v>104</v>
      </c>
      <c r="B169" s="3" t="s">
        <v>47</v>
      </c>
      <c r="C169" s="3" t="s">
        <v>53</v>
      </c>
      <c r="D169" s="3" t="s">
        <v>20</v>
      </c>
      <c r="E169" s="22" t="n">
        <v>1311.26</v>
      </c>
      <c r="F169" s="3" t="n">
        <v>6</v>
      </c>
      <c r="G169" s="23" t="n">
        <v>0.1</v>
      </c>
      <c r="H169" s="24" t="n">
        <v>45698</v>
      </c>
      <c r="I169" s="22" t="n">
        <v>531.06</v>
      </c>
      <c r="J169" s="25" t="n">
        <f aca="true">NOW()</f>
        <v>46303.4329743224</v>
      </c>
      <c r="K169" s="26" t="n">
        <f aca="false">SUMIF($A$2:$A$201,A169,$E$2:$E$201)</f>
        <v>7813.59</v>
      </c>
      <c r="L169" s="26" t="n">
        <f aca="false">SUMIF($A$2:$A$201,A169,$I$2:$I$201)</f>
        <v>3211.82</v>
      </c>
    </row>
    <row r="170" customFormat="false" ht="15.75" hidden="false" customHeight="true" outlineLevel="0" collapsed="false">
      <c r="A170" s="3" t="s">
        <v>104</v>
      </c>
      <c r="B170" s="3" t="s">
        <v>64</v>
      </c>
      <c r="C170" s="3" t="s">
        <v>55</v>
      </c>
      <c r="D170" s="3" t="s">
        <v>20</v>
      </c>
      <c r="E170" s="22" t="n">
        <v>573.32</v>
      </c>
      <c r="F170" s="3" t="n">
        <v>19</v>
      </c>
      <c r="G170" s="23" t="n">
        <v>0.1</v>
      </c>
      <c r="H170" s="24" t="n">
        <v>45703</v>
      </c>
      <c r="I170" s="22" t="n">
        <v>232.19</v>
      </c>
      <c r="J170" s="25" t="n">
        <f aca="true">NOW()</f>
        <v>46303.4329743223</v>
      </c>
      <c r="K170" s="26" t="n">
        <f aca="false">SUMIF($A$2:$A$201,A170,$E$2:$E$201)</f>
        <v>7813.59</v>
      </c>
      <c r="L170" s="26" t="n">
        <f aca="false">SUMIF($A$2:$A$201,A170,$I$2:$I$201)</f>
        <v>3211.82</v>
      </c>
    </row>
    <row r="171" customFormat="false" ht="15.75" hidden="false" customHeight="true" outlineLevel="0" collapsed="false">
      <c r="A171" s="3" t="s">
        <v>84</v>
      </c>
      <c r="B171" s="3" t="s">
        <v>57</v>
      </c>
      <c r="C171" s="3" t="s">
        <v>48</v>
      </c>
      <c r="D171" s="3" t="s">
        <v>18</v>
      </c>
      <c r="E171" s="22" t="n">
        <v>1115.22</v>
      </c>
      <c r="F171" s="3" t="n">
        <v>14</v>
      </c>
      <c r="G171" s="23" t="n">
        <v>0.2</v>
      </c>
      <c r="H171" s="24" t="n">
        <v>45705</v>
      </c>
      <c r="I171" s="22" t="n">
        <v>223.04</v>
      </c>
      <c r="J171" s="25" t="n">
        <f aca="true">NOW()</f>
        <v>46303.4329743223</v>
      </c>
      <c r="K171" s="26" t="n">
        <f aca="false">SUMIF($A$2:$A$201,A171,$E$2:$E$201)</f>
        <v>10293.87</v>
      </c>
      <c r="L171" s="26" t="n">
        <f aca="false">SUMIF($A$2:$A$201,A171,$I$2:$I$201)</f>
        <v>3541.02</v>
      </c>
    </row>
    <row r="172" customFormat="false" ht="15.75" hidden="false" customHeight="true" outlineLevel="0" collapsed="false">
      <c r="A172" s="3" t="s">
        <v>49</v>
      </c>
      <c r="B172" s="3" t="s">
        <v>77</v>
      </c>
      <c r="C172" s="3" t="s">
        <v>58</v>
      </c>
      <c r="D172" s="3" t="s">
        <v>17</v>
      </c>
      <c r="E172" s="22" t="n">
        <v>845.84</v>
      </c>
      <c r="F172" s="3" t="n">
        <v>4</v>
      </c>
      <c r="G172" s="23" t="n">
        <v>0</v>
      </c>
      <c r="H172" s="24" t="n">
        <v>45707</v>
      </c>
      <c r="I172" s="22" t="n">
        <v>422.92</v>
      </c>
      <c r="J172" s="25" t="n">
        <f aca="true">NOW()</f>
        <v>46303.4329743224</v>
      </c>
      <c r="K172" s="26" t="n">
        <f aca="false">SUMIF($A$2:$A$201,A172,$E$2:$E$201)</f>
        <v>8339</v>
      </c>
      <c r="L172" s="26" t="n">
        <f aca="false">SUMIF($A$2:$A$201,A172,$I$2:$I$201)</f>
        <v>2988.71</v>
      </c>
    </row>
    <row r="173" customFormat="false" ht="15.75" hidden="false" customHeight="true" outlineLevel="0" collapsed="false">
      <c r="A173" s="3" t="s">
        <v>63</v>
      </c>
      <c r="B173" s="3" t="s">
        <v>87</v>
      </c>
      <c r="C173" s="3" t="s">
        <v>48</v>
      </c>
      <c r="D173" s="3" t="s">
        <v>18</v>
      </c>
      <c r="E173" s="22" t="n">
        <v>1029.8</v>
      </c>
      <c r="F173" s="3" t="n">
        <v>3</v>
      </c>
      <c r="G173" s="23" t="n">
        <v>0</v>
      </c>
      <c r="H173" s="24" t="n">
        <v>45708</v>
      </c>
      <c r="I173" s="22" t="n">
        <v>257.45</v>
      </c>
      <c r="J173" s="25" t="n">
        <f aca="true">NOW()</f>
        <v>46303.4329743223</v>
      </c>
      <c r="K173" s="26" t="n">
        <f aca="false">SUMIF($A$2:$A$201,A173,$E$2:$E$201)</f>
        <v>9371.81</v>
      </c>
      <c r="L173" s="26" t="n">
        <f aca="false">SUMIF($A$2:$A$201,A173,$I$2:$I$201)</f>
        <v>2922.02</v>
      </c>
    </row>
    <row r="174" customFormat="false" ht="15.75" hidden="false" customHeight="true" outlineLevel="0" collapsed="false">
      <c r="A174" s="3" t="s">
        <v>65</v>
      </c>
      <c r="B174" s="3" t="s">
        <v>64</v>
      </c>
      <c r="C174" s="3" t="s">
        <v>58</v>
      </c>
      <c r="D174" s="3" t="s">
        <v>16</v>
      </c>
      <c r="E174" s="22" t="n">
        <v>1189.83</v>
      </c>
      <c r="F174" s="3" t="n">
        <v>2</v>
      </c>
      <c r="G174" s="23" t="n">
        <v>0.2</v>
      </c>
      <c r="H174" s="24" t="n">
        <v>45709</v>
      </c>
      <c r="I174" s="22" t="n">
        <v>380.75</v>
      </c>
      <c r="J174" s="25" t="n">
        <f aca="true">NOW()</f>
        <v>46303.4329743223</v>
      </c>
      <c r="K174" s="26" t="n">
        <f aca="false">SUMIF($A$2:$A$201,A174,$E$2:$E$201)</f>
        <v>6505.2</v>
      </c>
      <c r="L174" s="26" t="n">
        <f aca="false">SUMIF($A$2:$A$201,A174,$I$2:$I$201)</f>
        <v>2052.54</v>
      </c>
    </row>
    <row r="175" customFormat="false" ht="15.75" hidden="false" customHeight="true" outlineLevel="0" collapsed="false">
      <c r="A175" s="3" t="s">
        <v>99</v>
      </c>
      <c r="B175" s="3" t="s">
        <v>75</v>
      </c>
      <c r="C175" s="3" t="s">
        <v>55</v>
      </c>
      <c r="D175" s="3" t="s">
        <v>16</v>
      </c>
      <c r="E175" s="22" t="n">
        <v>704.28</v>
      </c>
      <c r="F175" s="3" t="n">
        <v>15</v>
      </c>
      <c r="G175" s="23" t="n">
        <v>0.2</v>
      </c>
      <c r="H175" s="24" t="n">
        <v>45712</v>
      </c>
      <c r="I175" s="22" t="n">
        <v>225.37</v>
      </c>
      <c r="J175" s="25" t="n">
        <f aca="true">NOW()</f>
        <v>46303.4329743224</v>
      </c>
      <c r="K175" s="26" t="n">
        <f aca="false">SUMIF($A$2:$A$201,A175,$E$2:$E$201)</f>
        <v>8490.18</v>
      </c>
      <c r="L175" s="26" t="n">
        <f aca="false">SUMIF($A$2:$A$201,A175,$I$2:$I$201)</f>
        <v>2652.75</v>
      </c>
    </row>
    <row r="176" customFormat="false" ht="15.75" hidden="false" customHeight="true" outlineLevel="0" collapsed="false">
      <c r="A176" s="3" t="s">
        <v>97</v>
      </c>
      <c r="B176" s="3" t="s">
        <v>79</v>
      </c>
      <c r="C176" s="3" t="s">
        <v>67</v>
      </c>
      <c r="D176" s="3" t="s">
        <v>20</v>
      </c>
      <c r="E176" s="22" t="n">
        <v>1618.22</v>
      </c>
      <c r="F176" s="3" t="n">
        <v>12</v>
      </c>
      <c r="G176" s="23" t="n">
        <v>0.2</v>
      </c>
      <c r="H176" s="24" t="n">
        <v>45712</v>
      </c>
      <c r="I176" s="22" t="n">
        <v>582.56</v>
      </c>
      <c r="J176" s="25" t="n">
        <f aca="true">NOW()</f>
        <v>46303.4329743223</v>
      </c>
      <c r="K176" s="26" t="n">
        <f aca="false">SUMIF($A$2:$A$201,A176,$E$2:$E$201)</f>
        <v>6481.43</v>
      </c>
      <c r="L176" s="26" t="n">
        <f aca="false">SUMIF($A$2:$A$201,A176,$I$2:$I$201)</f>
        <v>2210.74</v>
      </c>
    </row>
    <row r="177" customFormat="false" ht="15.75" hidden="false" customHeight="true" outlineLevel="0" collapsed="false">
      <c r="A177" s="3" t="s">
        <v>105</v>
      </c>
      <c r="B177" s="3" t="s">
        <v>85</v>
      </c>
      <c r="C177" s="3" t="s">
        <v>67</v>
      </c>
      <c r="D177" s="3" t="s">
        <v>16</v>
      </c>
      <c r="E177" s="22" t="n">
        <v>1014.43</v>
      </c>
      <c r="F177" s="3" t="n">
        <v>2</v>
      </c>
      <c r="G177" s="23" t="n">
        <v>0.15</v>
      </c>
      <c r="H177" s="24" t="n">
        <v>45713</v>
      </c>
      <c r="I177" s="22" t="n">
        <v>344.91</v>
      </c>
      <c r="J177" s="25" t="n">
        <f aca="true">NOW()</f>
        <v>46303.4329743224</v>
      </c>
      <c r="K177" s="26" t="n">
        <f aca="false">SUMIF($A$2:$A$201,A177,$E$2:$E$201)</f>
        <v>4162.44</v>
      </c>
      <c r="L177" s="26" t="n">
        <f aca="false">SUMIF($A$2:$A$201,A177,$I$2:$I$201)</f>
        <v>1605.11</v>
      </c>
    </row>
    <row r="178" customFormat="false" ht="15.75" hidden="false" customHeight="true" outlineLevel="0" collapsed="false">
      <c r="A178" s="3" t="s">
        <v>107</v>
      </c>
      <c r="B178" s="3" t="s">
        <v>64</v>
      </c>
      <c r="C178" s="3" t="s">
        <v>67</v>
      </c>
      <c r="D178" s="3" t="s">
        <v>17</v>
      </c>
      <c r="E178" s="22" t="n">
        <v>826.97</v>
      </c>
      <c r="F178" s="3" t="n">
        <v>18</v>
      </c>
      <c r="G178" s="23" t="n">
        <v>0.2</v>
      </c>
      <c r="H178" s="24" t="n">
        <v>45715</v>
      </c>
      <c r="I178" s="22" t="n">
        <v>330.79</v>
      </c>
      <c r="J178" s="25" t="n">
        <f aca="true">NOW()</f>
        <v>46303.4329743224</v>
      </c>
      <c r="K178" s="26" t="n">
        <f aca="false">SUMIF($A$2:$A$201,A178,$E$2:$E$201)</f>
        <v>4951.89</v>
      </c>
      <c r="L178" s="26" t="n">
        <f aca="false">SUMIF($A$2:$A$201,A178,$I$2:$I$201)</f>
        <v>1821.64</v>
      </c>
    </row>
    <row r="179" customFormat="false" ht="15.75" hidden="false" customHeight="true" outlineLevel="0" collapsed="false">
      <c r="A179" s="3" t="s">
        <v>51</v>
      </c>
      <c r="B179" s="3" t="s">
        <v>64</v>
      </c>
      <c r="C179" s="3" t="s">
        <v>67</v>
      </c>
      <c r="D179" s="3" t="s">
        <v>17</v>
      </c>
      <c r="E179" s="22" t="n">
        <v>1022.23</v>
      </c>
      <c r="F179" s="3" t="n">
        <v>8</v>
      </c>
      <c r="G179" s="23" t="n">
        <v>0.1</v>
      </c>
      <c r="H179" s="24" t="n">
        <v>45717</v>
      </c>
      <c r="I179" s="22" t="n">
        <v>460</v>
      </c>
      <c r="J179" s="25" t="n">
        <f aca="true">NOW()</f>
        <v>46303.4329743223</v>
      </c>
      <c r="K179" s="26" t="n">
        <f aca="false">SUMIF($A$2:$A$201,A179,$E$2:$E$201)</f>
        <v>3419.2</v>
      </c>
      <c r="L179" s="26" t="n">
        <f aca="false">SUMIF($A$2:$A$201,A179,$I$2:$I$201)</f>
        <v>1257.21</v>
      </c>
    </row>
    <row r="180" customFormat="false" ht="15.75" hidden="false" customHeight="true" outlineLevel="0" collapsed="false">
      <c r="A180" s="3" t="s">
        <v>104</v>
      </c>
      <c r="B180" s="3" t="s">
        <v>62</v>
      </c>
      <c r="C180" s="3" t="s">
        <v>53</v>
      </c>
      <c r="D180" s="3" t="s">
        <v>16</v>
      </c>
      <c r="E180" s="22" t="n">
        <v>1099.69</v>
      </c>
      <c r="F180" s="3" t="n">
        <v>6</v>
      </c>
      <c r="G180" s="23" t="n">
        <v>0</v>
      </c>
      <c r="H180" s="24" t="n">
        <v>45718</v>
      </c>
      <c r="I180" s="22" t="n">
        <v>439.88</v>
      </c>
      <c r="J180" s="25" t="n">
        <f aca="true">NOW()</f>
        <v>46303.4329743224</v>
      </c>
      <c r="K180" s="26" t="n">
        <f aca="false">SUMIF($A$2:$A$201,A180,$E$2:$E$201)</f>
        <v>7813.59</v>
      </c>
      <c r="L180" s="26" t="n">
        <f aca="false">SUMIF($A$2:$A$201,A180,$I$2:$I$201)</f>
        <v>3211.82</v>
      </c>
    </row>
    <row r="181" customFormat="false" ht="15.75" hidden="false" customHeight="true" outlineLevel="0" collapsed="false">
      <c r="A181" s="3" t="s">
        <v>84</v>
      </c>
      <c r="B181" s="3" t="s">
        <v>96</v>
      </c>
      <c r="C181" s="3" t="s">
        <v>58</v>
      </c>
      <c r="D181" s="3" t="s">
        <v>16</v>
      </c>
      <c r="E181" s="22" t="n">
        <v>710.52</v>
      </c>
      <c r="F181" s="3" t="n">
        <v>8</v>
      </c>
      <c r="G181" s="23" t="n">
        <v>0.1</v>
      </c>
      <c r="H181" s="24" t="n">
        <v>45721</v>
      </c>
      <c r="I181" s="22" t="n">
        <v>255.79</v>
      </c>
      <c r="J181" s="25" t="n">
        <f aca="true">NOW()</f>
        <v>46303.4329743224</v>
      </c>
      <c r="K181" s="26" t="n">
        <f aca="false">SUMIF($A$2:$A$201,A181,$E$2:$E$201)</f>
        <v>10293.87</v>
      </c>
      <c r="L181" s="26" t="n">
        <f aca="false">SUMIF($A$2:$A$201,A181,$I$2:$I$201)</f>
        <v>3541.02</v>
      </c>
    </row>
    <row r="182" customFormat="false" ht="15.75" hidden="false" customHeight="true" outlineLevel="0" collapsed="false">
      <c r="A182" s="3" t="s">
        <v>84</v>
      </c>
      <c r="B182" s="3" t="s">
        <v>91</v>
      </c>
      <c r="C182" s="3" t="s">
        <v>58</v>
      </c>
      <c r="D182" s="3" t="s">
        <v>16</v>
      </c>
      <c r="E182" s="22" t="n">
        <v>499.18</v>
      </c>
      <c r="F182" s="3" t="n">
        <v>15</v>
      </c>
      <c r="G182" s="23" t="n">
        <v>0.2</v>
      </c>
      <c r="H182" s="24" t="n">
        <v>45724</v>
      </c>
      <c r="I182" s="22" t="n">
        <v>159.74</v>
      </c>
      <c r="J182" s="25" t="n">
        <f aca="true">NOW()</f>
        <v>46303.4329743223</v>
      </c>
      <c r="K182" s="26" t="n">
        <f aca="false">SUMIF($A$2:$A$201,A182,$E$2:$E$201)</f>
        <v>10293.87</v>
      </c>
      <c r="L182" s="26" t="n">
        <f aca="false">SUMIF($A$2:$A$201,A182,$I$2:$I$201)</f>
        <v>3541.02</v>
      </c>
    </row>
    <row r="183" customFormat="false" ht="15.75" hidden="false" customHeight="true" outlineLevel="0" collapsed="false">
      <c r="A183" s="3" t="s">
        <v>70</v>
      </c>
      <c r="B183" s="3" t="s">
        <v>71</v>
      </c>
      <c r="C183" s="3" t="s">
        <v>55</v>
      </c>
      <c r="D183" s="3" t="s">
        <v>16</v>
      </c>
      <c r="E183" s="22" t="n">
        <v>1064.19</v>
      </c>
      <c r="F183" s="3" t="n">
        <v>18</v>
      </c>
      <c r="G183" s="23" t="n">
        <v>0.05</v>
      </c>
      <c r="H183" s="24" t="n">
        <v>45725</v>
      </c>
      <c r="I183" s="22" t="n">
        <v>404.39</v>
      </c>
      <c r="J183" s="25" t="n">
        <f aca="true">NOW()</f>
        <v>46303.4329743224</v>
      </c>
      <c r="K183" s="26" t="n">
        <f aca="false">SUMIF($A$2:$A$201,A183,$E$2:$E$201)</f>
        <v>6729.89</v>
      </c>
      <c r="L183" s="26" t="n">
        <f aca="false">SUMIF($A$2:$A$201,A183,$I$2:$I$201)</f>
        <v>2507.18</v>
      </c>
    </row>
    <row r="184" customFormat="false" ht="15.75" hidden="false" customHeight="true" outlineLevel="0" collapsed="false">
      <c r="A184" s="3" t="s">
        <v>99</v>
      </c>
      <c r="B184" s="3" t="s">
        <v>71</v>
      </c>
      <c r="C184" s="3" t="s">
        <v>53</v>
      </c>
      <c r="D184" s="3" t="s">
        <v>20</v>
      </c>
      <c r="E184" s="22" t="n">
        <v>438.76</v>
      </c>
      <c r="F184" s="3" t="n">
        <v>18</v>
      </c>
      <c r="G184" s="23" t="n">
        <v>0.05</v>
      </c>
      <c r="H184" s="24" t="n">
        <v>45726</v>
      </c>
      <c r="I184" s="22" t="n">
        <v>187.57</v>
      </c>
      <c r="J184" s="25" t="n">
        <f aca="true">NOW()</f>
        <v>46303.4329743224</v>
      </c>
      <c r="K184" s="26" t="n">
        <f aca="false">SUMIF($A$2:$A$201,A184,$E$2:$E$201)</f>
        <v>8490.18</v>
      </c>
      <c r="L184" s="26" t="n">
        <f aca="false">SUMIF($A$2:$A$201,A184,$I$2:$I$201)</f>
        <v>2652.75</v>
      </c>
    </row>
    <row r="185" customFormat="false" ht="15.75" hidden="false" customHeight="true" outlineLevel="0" collapsed="false">
      <c r="A185" s="3" t="s">
        <v>73</v>
      </c>
      <c r="B185" s="3" t="s">
        <v>87</v>
      </c>
      <c r="C185" s="3" t="s">
        <v>48</v>
      </c>
      <c r="D185" s="3" t="s">
        <v>17</v>
      </c>
      <c r="E185" s="22" t="n">
        <v>864.98</v>
      </c>
      <c r="F185" s="3" t="n">
        <v>2</v>
      </c>
      <c r="G185" s="23" t="n">
        <v>0.05</v>
      </c>
      <c r="H185" s="24" t="n">
        <v>45727</v>
      </c>
      <c r="I185" s="22" t="n">
        <v>410.87</v>
      </c>
      <c r="J185" s="25" t="n">
        <f aca="true">NOW()</f>
        <v>46303.4329743223</v>
      </c>
      <c r="K185" s="26" t="n">
        <f aca="false">SUMIF($A$2:$A$201,A185,$E$2:$E$201)</f>
        <v>5779.05</v>
      </c>
      <c r="L185" s="26" t="n">
        <f aca="false">SUMIF($A$2:$A$201,A185,$I$2:$I$201)</f>
        <v>1611.66</v>
      </c>
    </row>
    <row r="186" customFormat="false" ht="15.75" hidden="false" customHeight="true" outlineLevel="0" collapsed="false">
      <c r="A186" s="3" t="s">
        <v>89</v>
      </c>
      <c r="B186" s="3" t="s">
        <v>87</v>
      </c>
      <c r="C186" s="3" t="s">
        <v>48</v>
      </c>
      <c r="D186" s="3" t="s">
        <v>19</v>
      </c>
      <c r="E186" s="22" t="n">
        <v>984.93</v>
      </c>
      <c r="F186" s="3" t="n">
        <v>14</v>
      </c>
      <c r="G186" s="23" t="n">
        <v>0.2</v>
      </c>
      <c r="H186" s="24" t="n">
        <v>45733</v>
      </c>
      <c r="I186" s="22" t="n">
        <v>275.78</v>
      </c>
      <c r="J186" s="25" t="n">
        <f aca="true">NOW()</f>
        <v>46303.4329743224</v>
      </c>
      <c r="K186" s="26" t="n">
        <f aca="false">SUMIF($A$2:$A$201,A186,$E$2:$E$201)</f>
        <v>8740.18</v>
      </c>
      <c r="L186" s="26" t="n">
        <f aca="false">SUMIF($A$2:$A$201,A186,$I$2:$I$201)</f>
        <v>2848.62</v>
      </c>
    </row>
    <row r="187" customFormat="false" ht="15.75" hidden="false" customHeight="true" outlineLevel="0" collapsed="false">
      <c r="A187" s="3" t="s">
        <v>59</v>
      </c>
      <c r="B187" s="3" t="s">
        <v>87</v>
      </c>
      <c r="C187" s="3" t="s">
        <v>48</v>
      </c>
      <c r="D187" s="3" t="s">
        <v>17</v>
      </c>
      <c r="E187" s="22" t="n">
        <v>1493.49</v>
      </c>
      <c r="F187" s="3" t="n">
        <v>18</v>
      </c>
      <c r="G187" s="23" t="n">
        <v>0</v>
      </c>
      <c r="H187" s="24" t="n">
        <v>45734</v>
      </c>
      <c r="I187" s="22" t="n">
        <v>746.74</v>
      </c>
      <c r="J187" s="25" t="n">
        <f aca="true">NOW()</f>
        <v>46303.4329743224</v>
      </c>
      <c r="K187" s="26" t="n">
        <f aca="false">SUMIF($A$2:$A$201,A187,$E$2:$E$201)</f>
        <v>9941.88</v>
      </c>
      <c r="L187" s="26" t="n">
        <f aca="false">SUMIF($A$2:$A$201,A187,$I$2:$I$201)</f>
        <v>3936.26</v>
      </c>
    </row>
    <row r="188" customFormat="false" ht="15.75" hidden="false" customHeight="true" outlineLevel="0" collapsed="false">
      <c r="A188" s="3" t="s">
        <v>65</v>
      </c>
      <c r="B188" s="3" t="s">
        <v>85</v>
      </c>
      <c r="C188" s="3" t="s">
        <v>55</v>
      </c>
      <c r="D188" s="3" t="s">
        <v>17</v>
      </c>
      <c r="E188" s="22" t="n">
        <v>689.43</v>
      </c>
      <c r="F188" s="3" t="n">
        <v>9</v>
      </c>
      <c r="G188" s="23" t="n">
        <v>0.1</v>
      </c>
      <c r="H188" s="24" t="n">
        <v>45736</v>
      </c>
      <c r="I188" s="22" t="n">
        <v>310.24</v>
      </c>
      <c r="J188" s="25" t="n">
        <f aca="true">NOW()</f>
        <v>46303.4329743223</v>
      </c>
      <c r="K188" s="26" t="n">
        <f aca="false">SUMIF($A$2:$A$201,A188,$E$2:$E$201)</f>
        <v>6505.2</v>
      </c>
      <c r="L188" s="26" t="n">
        <f aca="false">SUMIF($A$2:$A$201,A188,$I$2:$I$201)</f>
        <v>2052.54</v>
      </c>
    </row>
    <row r="189" customFormat="false" ht="15.75" hidden="false" customHeight="true" outlineLevel="0" collapsed="false">
      <c r="A189" s="3" t="s">
        <v>72</v>
      </c>
      <c r="B189" s="3" t="s">
        <v>91</v>
      </c>
      <c r="C189" s="3" t="s">
        <v>55</v>
      </c>
      <c r="D189" s="3" t="s">
        <v>17</v>
      </c>
      <c r="E189" s="22" t="n">
        <v>682.24</v>
      </c>
      <c r="F189" s="3" t="n">
        <v>1</v>
      </c>
      <c r="G189" s="23" t="n">
        <v>0</v>
      </c>
      <c r="H189" s="24" t="n">
        <v>45738</v>
      </c>
      <c r="I189" s="22" t="n">
        <v>341.12</v>
      </c>
      <c r="J189" s="25" t="n">
        <f aca="true">NOW()</f>
        <v>46303.4329743224</v>
      </c>
      <c r="K189" s="26" t="n">
        <f aca="false">SUMIF($A$2:$A$201,A189,$E$2:$E$201)</f>
        <v>5913.68</v>
      </c>
      <c r="L189" s="26" t="n">
        <f aca="false">SUMIF($A$2:$A$201,A189,$I$2:$I$201)</f>
        <v>2198.62</v>
      </c>
    </row>
    <row r="190" customFormat="false" ht="15.75" hidden="false" customHeight="true" outlineLevel="0" collapsed="false">
      <c r="A190" s="3" t="s">
        <v>73</v>
      </c>
      <c r="B190" s="3" t="s">
        <v>60</v>
      </c>
      <c r="C190" s="3" t="s">
        <v>58</v>
      </c>
      <c r="D190" s="3" t="s">
        <v>18</v>
      </c>
      <c r="E190" s="22" t="n">
        <v>458.54</v>
      </c>
      <c r="F190" s="3" t="n">
        <v>15</v>
      </c>
      <c r="G190" s="23" t="n">
        <v>0.2</v>
      </c>
      <c r="H190" s="24" t="n">
        <v>45741</v>
      </c>
      <c r="I190" s="22" t="n">
        <v>91.71</v>
      </c>
      <c r="J190" s="25" t="n">
        <f aca="true">NOW()</f>
        <v>46303.4329743224</v>
      </c>
      <c r="K190" s="26" t="n">
        <f aca="false">SUMIF($A$2:$A$201,A190,$E$2:$E$201)</f>
        <v>5779.05</v>
      </c>
      <c r="L190" s="26" t="n">
        <f aca="false">SUMIF($A$2:$A$201,A190,$I$2:$I$201)</f>
        <v>1611.66</v>
      </c>
    </row>
    <row r="191" customFormat="false" ht="15.75" hidden="false" customHeight="true" outlineLevel="0" collapsed="false">
      <c r="A191" s="3" t="s">
        <v>65</v>
      </c>
      <c r="B191" s="3" t="s">
        <v>60</v>
      </c>
      <c r="C191" s="3" t="s">
        <v>55</v>
      </c>
      <c r="D191" s="3" t="s">
        <v>19</v>
      </c>
      <c r="E191" s="22" t="n">
        <v>1184.25</v>
      </c>
      <c r="F191" s="3" t="n">
        <v>11</v>
      </c>
      <c r="G191" s="23" t="n">
        <v>0.2</v>
      </c>
      <c r="H191" s="24" t="n">
        <v>45742</v>
      </c>
      <c r="I191" s="22" t="n">
        <v>331.59</v>
      </c>
      <c r="J191" s="25" t="n">
        <f aca="true">NOW()</f>
        <v>46303.4329743223</v>
      </c>
      <c r="K191" s="26" t="n">
        <f aca="false">SUMIF($A$2:$A$201,A191,$E$2:$E$201)</f>
        <v>6505.2</v>
      </c>
      <c r="L191" s="26" t="n">
        <f aca="false">SUMIF($A$2:$A$201,A191,$I$2:$I$201)</f>
        <v>2052.54</v>
      </c>
    </row>
    <row r="192" customFormat="false" ht="15.75" hidden="false" customHeight="true" outlineLevel="0" collapsed="false">
      <c r="A192" s="3" t="s">
        <v>59</v>
      </c>
      <c r="B192" s="3" t="s">
        <v>47</v>
      </c>
      <c r="C192" s="3" t="s">
        <v>55</v>
      </c>
      <c r="D192" s="3" t="s">
        <v>17</v>
      </c>
      <c r="E192" s="22" t="n">
        <v>762.14</v>
      </c>
      <c r="F192" s="3" t="n">
        <v>9</v>
      </c>
      <c r="G192" s="23" t="n">
        <v>0</v>
      </c>
      <c r="H192" s="24" t="n">
        <v>45743</v>
      </c>
      <c r="I192" s="22" t="n">
        <v>381.07</v>
      </c>
      <c r="J192" s="25" t="n">
        <f aca="true">NOW()</f>
        <v>46303.4329743224</v>
      </c>
      <c r="K192" s="26" t="n">
        <f aca="false">SUMIF($A$2:$A$201,A192,$E$2:$E$201)</f>
        <v>9941.88</v>
      </c>
      <c r="L192" s="26" t="n">
        <f aca="false">SUMIF($A$2:$A$201,A192,$I$2:$I$201)</f>
        <v>3936.26</v>
      </c>
    </row>
    <row r="193" customFormat="false" ht="15.75" hidden="false" customHeight="true" outlineLevel="0" collapsed="false">
      <c r="A193" s="3" t="s">
        <v>56</v>
      </c>
      <c r="B193" s="3" t="s">
        <v>85</v>
      </c>
      <c r="C193" s="3" t="s">
        <v>58</v>
      </c>
      <c r="D193" s="3" t="s">
        <v>16</v>
      </c>
      <c r="E193" s="22" t="n">
        <v>750.71</v>
      </c>
      <c r="F193" s="3" t="n">
        <v>10</v>
      </c>
      <c r="G193" s="23" t="n">
        <v>0.15</v>
      </c>
      <c r="H193" s="24" t="n">
        <v>45743</v>
      </c>
      <c r="I193" s="22" t="n">
        <v>255.24</v>
      </c>
      <c r="J193" s="25" t="n">
        <f aca="true">NOW()</f>
        <v>46303.4329743224</v>
      </c>
      <c r="K193" s="26" t="n">
        <f aca="false">SUMIF($A$2:$A$201,A193,$E$2:$E$201)</f>
        <v>7928.71</v>
      </c>
      <c r="L193" s="26" t="n">
        <f aca="false">SUMIF($A$2:$A$201,A193,$I$2:$I$201)</f>
        <v>2965.48</v>
      </c>
    </row>
    <row r="194" customFormat="false" ht="15.75" hidden="false" customHeight="true" outlineLevel="0" collapsed="false">
      <c r="A194" s="3" t="s">
        <v>107</v>
      </c>
      <c r="B194" s="3" t="s">
        <v>103</v>
      </c>
      <c r="C194" s="3" t="s">
        <v>67</v>
      </c>
      <c r="D194" s="3" t="s">
        <v>17</v>
      </c>
      <c r="E194" s="22" t="n">
        <v>1456.94</v>
      </c>
      <c r="F194" s="3" t="n">
        <v>14</v>
      </c>
      <c r="G194" s="23" t="n">
        <v>0.05</v>
      </c>
      <c r="H194" s="24" t="n">
        <v>45745</v>
      </c>
      <c r="I194" s="22" t="n">
        <v>692.05</v>
      </c>
      <c r="J194" s="25" t="n">
        <f aca="true">NOW()</f>
        <v>46303.4329743223</v>
      </c>
      <c r="K194" s="26" t="n">
        <f aca="false">SUMIF($A$2:$A$201,A194,$E$2:$E$201)</f>
        <v>4951.89</v>
      </c>
      <c r="L194" s="26" t="n">
        <f aca="false">SUMIF($A$2:$A$201,A194,$I$2:$I$201)</f>
        <v>1821.64</v>
      </c>
    </row>
    <row r="195" customFormat="false" ht="15.75" hidden="false" customHeight="true" outlineLevel="0" collapsed="false">
      <c r="A195" s="3" t="s">
        <v>76</v>
      </c>
      <c r="B195" s="3" t="s">
        <v>93</v>
      </c>
      <c r="C195" s="3" t="s">
        <v>53</v>
      </c>
      <c r="D195" s="3" t="s">
        <v>19</v>
      </c>
      <c r="E195" s="22" t="n">
        <v>1093.38</v>
      </c>
      <c r="F195" s="3" t="n">
        <v>17</v>
      </c>
      <c r="G195" s="23" t="n">
        <v>0.1</v>
      </c>
      <c r="H195" s="24" t="n">
        <v>45745</v>
      </c>
      <c r="I195" s="22" t="n">
        <v>344.41</v>
      </c>
      <c r="J195" s="25" t="n">
        <f aca="true">NOW()</f>
        <v>46303.4329743224</v>
      </c>
      <c r="K195" s="26" t="n">
        <f aca="false">SUMIF($A$2:$A$201,A195,$E$2:$E$201)</f>
        <v>9760.8</v>
      </c>
      <c r="L195" s="26" t="n">
        <f aca="false">SUMIF($A$2:$A$201,A195,$I$2:$I$201)</f>
        <v>3442.48</v>
      </c>
    </row>
    <row r="196" customFormat="false" ht="15.75" hidden="false" customHeight="true" outlineLevel="0" collapsed="false">
      <c r="A196" s="3" t="s">
        <v>70</v>
      </c>
      <c r="B196" s="3" t="s">
        <v>75</v>
      </c>
      <c r="C196" s="3" t="s">
        <v>48</v>
      </c>
      <c r="D196" s="3" t="s">
        <v>17</v>
      </c>
      <c r="E196" s="22" t="n">
        <v>934.27</v>
      </c>
      <c r="F196" s="3" t="n">
        <v>8</v>
      </c>
      <c r="G196" s="23" t="n">
        <v>0.15</v>
      </c>
      <c r="H196" s="24" t="n">
        <v>45746</v>
      </c>
      <c r="I196" s="22" t="n">
        <v>397.06</v>
      </c>
      <c r="J196" s="25" t="n">
        <f aca="true">NOW()</f>
        <v>46303.4329743224</v>
      </c>
      <c r="K196" s="26" t="n">
        <f aca="false">SUMIF($A$2:$A$201,A196,$E$2:$E$201)</f>
        <v>6729.89</v>
      </c>
      <c r="L196" s="26" t="n">
        <f aca="false">SUMIF($A$2:$A$201,A196,$I$2:$I$201)</f>
        <v>2507.18</v>
      </c>
    </row>
    <row r="197" customFormat="false" ht="15.75" hidden="false" customHeight="true" outlineLevel="0" collapsed="false">
      <c r="A197" s="3" t="s">
        <v>102</v>
      </c>
      <c r="B197" s="3" t="s">
        <v>69</v>
      </c>
      <c r="C197" s="3" t="s">
        <v>67</v>
      </c>
      <c r="D197" s="3" t="s">
        <v>17</v>
      </c>
      <c r="E197" s="22" t="n">
        <v>1465.35</v>
      </c>
      <c r="F197" s="3" t="n">
        <v>8</v>
      </c>
      <c r="G197" s="23" t="n">
        <v>0.2</v>
      </c>
      <c r="H197" s="24" t="n">
        <v>45746</v>
      </c>
      <c r="I197" s="22" t="n">
        <v>586.14</v>
      </c>
      <c r="J197" s="25" t="n">
        <f aca="true">NOW()</f>
        <v>46303.4329743224</v>
      </c>
      <c r="K197" s="26" t="n">
        <f aca="false">SUMIF($A$2:$A$201,A197,$E$2:$E$201)</f>
        <v>7583.13</v>
      </c>
      <c r="L197" s="26" t="n">
        <f aca="false">SUMIF($A$2:$A$201,A197,$I$2:$I$201)</f>
        <v>2492.1</v>
      </c>
    </row>
    <row r="198" customFormat="false" ht="15.75" hidden="false" customHeight="true" outlineLevel="0" collapsed="false">
      <c r="A198" s="3" t="s">
        <v>84</v>
      </c>
      <c r="B198" s="3" t="s">
        <v>50</v>
      </c>
      <c r="C198" s="3" t="s">
        <v>55</v>
      </c>
      <c r="D198" s="3" t="s">
        <v>20</v>
      </c>
      <c r="E198" s="22" t="n">
        <v>740.8</v>
      </c>
      <c r="F198" s="3" t="n">
        <v>3</v>
      </c>
      <c r="G198" s="23" t="n">
        <v>0</v>
      </c>
      <c r="H198" s="24" t="n">
        <v>45749</v>
      </c>
      <c r="I198" s="22" t="n">
        <v>333.36</v>
      </c>
      <c r="J198" s="25" t="n">
        <f aca="true">NOW()</f>
        <v>46303.4329743224</v>
      </c>
      <c r="K198" s="26" t="n">
        <f aca="false">SUMIF($A$2:$A$201,A198,$E$2:$E$201)</f>
        <v>10293.87</v>
      </c>
      <c r="L198" s="26" t="n">
        <f aca="false">SUMIF($A$2:$A$201,A198,$I$2:$I$201)</f>
        <v>3541.02</v>
      </c>
    </row>
    <row r="199" customFormat="false" ht="15.75" hidden="false" customHeight="true" outlineLevel="0" collapsed="false">
      <c r="A199" s="3" t="s">
        <v>90</v>
      </c>
      <c r="B199" s="3" t="s">
        <v>75</v>
      </c>
      <c r="C199" s="3" t="s">
        <v>48</v>
      </c>
      <c r="D199" s="3" t="s">
        <v>20</v>
      </c>
      <c r="E199" s="22" t="n">
        <v>545.44</v>
      </c>
      <c r="F199" s="3" t="n">
        <v>17</v>
      </c>
      <c r="G199" s="23" t="n">
        <v>0</v>
      </c>
      <c r="H199" s="24" t="n">
        <v>45752</v>
      </c>
      <c r="I199" s="22" t="n">
        <v>245.45</v>
      </c>
      <c r="J199" s="25" t="n">
        <f aca="true">NOW()</f>
        <v>46303.4329743224</v>
      </c>
      <c r="K199" s="26" t="n">
        <f aca="false">SUMIF($A$2:$A$201,A199,$E$2:$E$201)</f>
        <v>11611.06</v>
      </c>
      <c r="L199" s="26" t="n">
        <f aca="false">SUMIF($A$2:$A$201,A199,$I$2:$I$201)</f>
        <v>4201.59</v>
      </c>
    </row>
    <row r="200" customFormat="false" ht="15.75" hidden="false" customHeight="true" outlineLevel="0" collapsed="false">
      <c r="A200" s="3" t="s">
        <v>68</v>
      </c>
      <c r="B200" s="3" t="s">
        <v>69</v>
      </c>
      <c r="C200" s="3" t="s">
        <v>53</v>
      </c>
      <c r="D200" s="3" t="s">
        <v>16</v>
      </c>
      <c r="E200" s="22" t="n">
        <v>997.61</v>
      </c>
      <c r="F200" s="3" t="n">
        <v>8</v>
      </c>
      <c r="G200" s="23" t="n">
        <v>0.05</v>
      </c>
      <c r="H200" s="24" t="n">
        <v>45752</v>
      </c>
      <c r="I200" s="22" t="n">
        <v>379.09</v>
      </c>
      <c r="J200" s="25" t="n">
        <f aca="true">NOW()</f>
        <v>46303.4329743224</v>
      </c>
      <c r="K200" s="26" t="n">
        <f aca="false">SUMIF($A$2:$A$201,A200,$E$2:$E$201)</f>
        <v>4259.22</v>
      </c>
      <c r="L200" s="26" t="n">
        <f aca="false">SUMIF($A$2:$A$201,A200,$I$2:$I$201)</f>
        <v>1529.32</v>
      </c>
    </row>
    <row r="201" customFormat="false" ht="15.75" hidden="false" customHeight="true" outlineLevel="0" collapsed="false">
      <c r="A201" s="3" t="s">
        <v>92</v>
      </c>
      <c r="B201" s="3" t="s">
        <v>69</v>
      </c>
      <c r="C201" s="3" t="s">
        <v>55</v>
      </c>
      <c r="D201" s="3" t="s">
        <v>17</v>
      </c>
      <c r="E201" s="22" t="n">
        <v>928.32</v>
      </c>
      <c r="F201" s="3" t="n">
        <v>2</v>
      </c>
      <c r="G201" s="23" t="n">
        <v>0.05</v>
      </c>
      <c r="H201" s="24" t="n">
        <v>45754</v>
      </c>
      <c r="I201" s="22" t="n">
        <v>440.95</v>
      </c>
      <c r="J201" s="25" t="n">
        <f aca="true">NOW()</f>
        <v>46303.4329743224</v>
      </c>
      <c r="K201" s="26" t="n">
        <f aca="false">SUMIF($A$2:$A$201,A201,$E$2:$E$201)</f>
        <v>3369.17</v>
      </c>
      <c r="L201" s="26" t="n">
        <f aca="false">SUMIF($A$2:$A$201,A201,$I$2:$I$201)</f>
        <v>1497.25</v>
      </c>
    </row>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L20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5"/>
    <col collapsed="false" customWidth="true" hidden="false" outlineLevel="0" max="3" min="2" style="1" width="16"/>
    <col collapsed="false" customWidth="true" hidden="false" outlineLevel="0" max="4" min="4" style="1" width="12"/>
    <col collapsed="false" customWidth="true" hidden="false" outlineLevel="0" max="5" min="5" style="1" width="15"/>
    <col collapsed="false" customWidth="true" hidden="false" outlineLevel="0" max="6" min="6" style="1" width="16"/>
    <col collapsed="false" customWidth="true" hidden="false" outlineLevel="0" max="8" min="7" style="0" width="13"/>
  </cols>
  <sheetData>
    <row r="1" customFormat="false" ht="27.75" hidden="false" customHeight="true" outlineLevel="0" collapsed="false">
      <c r="A1" s="2" t="s">
        <v>108</v>
      </c>
      <c r="B1" s="2"/>
      <c r="C1" s="2"/>
      <c r="D1" s="2"/>
      <c r="E1" s="2"/>
      <c r="F1" s="2"/>
      <c r="G1" s="2"/>
      <c r="H1" s="2"/>
    </row>
    <row r="2" customFormat="false" ht="15" hidden="false" customHeight="false" outlineLevel="0" collapsed="false"/>
    <row r="3" customFormat="false" ht="15" hidden="false" customHeight="true" outlineLevel="0" collapsed="false">
      <c r="A3" s="2" t="s">
        <v>109</v>
      </c>
      <c r="B3" s="2"/>
      <c r="C3" s="2"/>
      <c r="D3" s="2"/>
      <c r="E3" s="2"/>
      <c r="F3" s="2"/>
      <c r="G3" s="12"/>
      <c r="H3" s="12"/>
    </row>
    <row r="4" customFormat="false" ht="15" hidden="false" customHeight="true" outlineLevel="0" collapsed="false">
      <c r="A4" s="4" t="s">
        <v>110</v>
      </c>
      <c r="B4" s="4" t="s">
        <v>11</v>
      </c>
      <c r="C4" s="4" t="s">
        <v>15</v>
      </c>
      <c r="D4" s="4" t="s">
        <v>4</v>
      </c>
      <c r="E4" s="4" t="s">
        <v>111</v>
      </c>
      <c r="F4" s="4" t="s">
        <v>112</v>
      </c>
    </row>
    <row r="5" customFormat="false" ht="15" hidden="false" customHeight="true" outlineLevel="0" collapsed="false">
      <c r="A5" s="27" t="n">
        <v>45383</v>
      </c>
      <c r="B5" s="26" t="n">
        <f aca="false">SUMIFS(Dataset!$E$2:$E$201,Dataset!$H$2:$H$201,"&gt;="&amp;A5,Dataset!$H$2:$H$201,"&lt;"&amp;EDATE(A5,1))</f>
        <v>19029.96</v>
      </c>
      <c r="C5" s="26" t="n">
        <f aca="false">SUMIFS(Dataset!$I$2:$I$201,Dataset!$H$2:$H$201,"&gt;="&amp;A5,Dataset!$H$2:$H$201,"&lt;"&amp;EDATE(A5,1))</f>
        <v>6244.01</v>
      </c>
      <c r="D5" s="28" t="n">
        <f aca="false">COUNTIFS(Dataset!$H$2:$H$201,"&gt;="&amp;A5,Dataset!$H$2:$H$201,"&lt;"&amp;EDATE(A5,1))</f>
        <v>19</v>
      </c>
      <c r="E5" s="29" t="s">
        <v>113</v>
      </c>
      <c r="F5" s="28" t="s">
        <v>114</v>
      </c>
    </row>
    <row r="6" customFormat="false" ht="15" hidden="false" customHeight="true" outlineLevel="0" collapsed="false">
      <c r="A6" s="27" t="n">
        <v>45413</v>
      </c>
      <c r="B6" s="26" t="n">
        <f aca="false">SUMIFS(Dataset!$E$2:$E$201,Dataset!$H$2:$H$201,"&gt;="&amp;A6,Dataset!$H$2:$H$201,"&lt;"&amp;EDATE(A6,1))</f>
        <v>18507.34</v>
      </c>
      <c r="C6" s="26" t="n">
        <f aca="false">SUMIFS(Dataset!$I$2:$I$201,Dataset!$H$2:$H$201,"&gt;="&amp;A6,Dataset!$H$2:$H$201,"&lt;"&amp;EDATE(A6,1))</f>
        <v>6121.35</v>
      </c>
      <c r="D6" s="28" t="n">
        <f aca="false">COUNTIFS(Dataset!$H$2:$H$201,"&gt;="&amp;A6,Dataset!$H$2:$H$201,"&lt;"&amp;EDATE(A6,1))</f>
        <v>21</v>
      </c>
      <c r="E6" s="29" t="n">
        <f aca="false">IFERROR(B6/B5-1,0)</f>
        <v>-0.0274630109574586</v>
      </c>
      <c r="F6" s="28" t="str">
        <f aca="false">IF(E6&gt;0,"▲",IF(E6&lt;0,"▼","—"))</f>
        <v>▼</v>
      </c>
    </row>
    <row r="7" customFormat="false" ht="15" hidden="false" customHeight="true" outlineLevel="0" collapsed="false">
      <c r="A7" s="27" t="n">
        <v>45444</v>
      </c>
      <c r="B7" s="26" t="n">
        <f aca="false">SUMIFS(Dataset!$E$2:$E$201,Dataset!$H$2:$H$201,"&gt;="&amp;A7,Dataset!$H$2:$H$201,"&lt;"&amp;EDATE(A7,1))</f>
        <v>20187.51</v>
      </c>
      <c r="C7" s="26" t="n">
        <f aca="false">SUMIFS(Dataset!$I$2:$I$201,Dataset!$H$2:$H$201,"&gt;="&amp;A7,Dataset!$H$2:$H$201,"&lt;"&amp;EDATE(A7,1))</f>
        <v>6918</v>
      </c>
      <c r="D7" s="28" t="n">
        <f aca="false">COUNTIFS(Dataset!$H$2:$H$201,"&gt;="&amp;A7,Dataset!$H$2:$H$201,"&lt;"&amp;EDATE(A7,1))</f>
        <v>20</v>
      </c>
      <c r="E7" s="29" t="n">
        <f aca="false">IFERROR(B7/B6-1,0)</f>
        <v>0.0907839808421955</v>
      </c>
      <c r="F7" s="28" t="str">
        <f aca="false">IF(E7&gt;0,"▲",IF(E7&lt;0,"▼","—"))</f>
        <v>▲</v>
      </c>
    </row>
    <row r="8" customFormat="false" ht="15" hidden="false" customHeight="true" outlineLevel="0" collapsed="false">
      <c r="A8" s="27" t="n">
        <v>45474</v>
      </c>
      <c r="B8" s="26" t="n">
        <f aca="false">SUMIFS(Dataset!$E$2:$E$201,Dataset!$H$2:$H$201,"&gt;="&amp;A8,Dataset!$H$2:$H$201,"&lt;"&amp;EDATE(A8,1))</f>
        <v>11609.04</v>
      </c>
      <c r="C8" s="26" t="n">
        <f aca="false">SUMIFS(Dataset!$I$2:$I$201,Dataset!$H$2:$H$201,"&gt;="&amp;A8,Dataset!$H$2:$H$201,"&lt;"&amp;EDATE(A8,1))</f>
        <v>3743.85</v>
      </c>
      <c r="D8" s="28" t="n">
        <f aca="false">COUNTIFS(Dataset!$H$2:$H$201,"&gt;="&amp;A8,Dataset!$H$2:$H$201,"&lt;"&amp;EDATE(A8,1))</f>
        <v>12</v>
      </c>
      <c r="E8" s="29" t="n">
        <f aca="false">IFERROR(B8/B7-1,0)</f>
        <v>-0.42493947990614</v>
      </c>
      <c r="F8" s="28" t="str">
        <f aca="false">IF(E8&gt;0,"▲",IF(E8&lt;0,"▼","—"))</f>
        <v>▼</v>
      </c>
    </row>
    <row r="9" customFormat="false" ht="15" hidden="false" customHeight="true" outlineLevel="0" collapsed="false">
      <c r="A9" s="27" t="n">
        <v>45505</v>
      </c>
      <c r="B9" s="26" t="n">
        <f aca="false">SUMIFS(Dataset!$E$2:$E$201,Dataset!$H$2:$H$201,"&gt;="&amp;A9,Dataset!$H$2:$H$201,"&lt;"&amp;EDATE(A9,1))</f>
        <v>10091.7</v>
      </c>
      <c r="C9" s="26" t="n">
        <f aca="false">SUMIFS(Dataset!$I$2:$I$201,Dataset!$H$2:$H$201,"&gt;="&amp;A9,Dataset!$H$2:$H$201,"&lt;"&amp;EDATE(A9,1))</f>
        <v>3302.84</v>
      </c>
      <c r="D9" s="28" t="n">
        <f aca="false">COUNTIFS(Dataset!$H$2:$H$201,"&gt;="&amp;A9,Dataset!$H$2:$H$201,"&lt;"&amp;EDATE(A9,1))</f>
        <v>10</v>
      </c>
      <c r="E9" s="29" t="n">
        <f aca="false">IFERROR(B9/B8-1,0)</f>
        <v>-0.130703313969114</v>
      </c>
      <c r="F9" s="28" t="str">
        <f aca="false">IF(E9&gt;0,"▲",IF(E9&lt;0,"▼","—"))</f>
        <v>▼</v>
      </c>
    </row>
    <row r="10" customFormat="false" ht="15" hidden="false" customHeight="true" outlineLevel="0" collapsed="false">
      <c r="A10" s="27" t="n">
        <v>45536</v>
      </c>
      <c r="B10" s="26" t="n">
        <f aca="false">SUMIFS(Dataset!$E$2:$E$201,Dataset!$H$2:$H$201,"&gt;="&amp;A10,Dataset!$H$2:$H$201,"&lt;"&amp;EDATE(A10,1))</f>
        <v>20533.5</v>
      </c>
      <c r="C10" s="26" t="n">
        <f aca="false">SUMIFS(Dataset!$I$2:$I$201,Dataset!$H$2:$H$201,"&gt;="&amp;A10,Dataset!$H$2:$H$201,"&lt;"&amp;EDATE(A10,1))</f>
        <v>7457.52</v>
      </c>
      <c r="D10" s="28" t="n">
        <f aca="false">COUNTIFS(Dataset!$H$2:$H$201,"&gt;="&amp;A10,Dataset!$H$2:$H$201,"&lt;"&amp;EDATE(A10,1))</f>
        <v>20</v>
      </c>
      <c r="E10" s="29" t="n">
        <f aca="false">IFERROR(B10/B9-1,0)</f>
        <v>1.03469187550165</v>
      </c>
      <c r="F10" s="28" t="str">
        <f aca="false">IF(E10&gt;0,"▲",IF(E10&lt;0,"▼","—"))</f>
        <v>▲</v>
      </c>
    </row>
    <row r="11" customFormat="false" ht="15" hidden="false" customHeight="true" outlineLevel="0" collapsed="false">
      <c r="A11" s="27" t="n">
        <v>45566</v>
      </c>
      <c r="B11" s="26" t="n">
        <f aca="false">SUMIFS(Dataset!$E$2:$E$201,Dataset!$H$2:$H$201,"&gt;="&amp;A11,Dataset!$H$2:$H$201,"&lt;"&amp;EDATE(A11,1))</f>
        <v>14215.24</v>
      </c>
      <c r="C11" s="26" t="n">
        <f aca="false">SUMIFS(Dataset!$I$2:$I$201,Dataset!$H$2:$H$201,"&gt;="&amp;A11,Dataset!$H$2:$H$201,"&lt;"&amp;EDATE(A11,1))</f>
        <v>4861.7</v>
      </c>
      <c r="D11" s="28" t="n">
        <f aca="false">COUNTIFS(Dataset!$H$2:$H$201,"&gt;="&amp;A11,Dataset!$H$2:$H$201,"&lt;"&amp;EDATE(A11,1))</f>
        <v>14</v>
      </c>
      <c r="E11" s="29" t="n">
        <f aca="false">IFERROR(B11/B10-1,0)</f>
        <v>-0.307704969927192</v>
      </c>
      <c r="F11" s="28" t="str">
        <f aca="false">IF(E11&gt;0,"▲",IF(E11&lt;0,"▼","—"))</f>
        <v>▼</v>
      </c>
    </row>
    <row r="12" customFormat="false" ht="15" hidden="false" customHeight="true" outlineLevel="0" collapsed="false">
      <c r="A12" s="27" t="n">
        <v>45597</v>
      </c>
      <c r="B12" s="26" t="n">
        <f aca="false">SUMIFS(Dataset!$E$2:$E$201,Dataset!$H$2:$H$201,"&gt;="&amp;A12,Dataset!$H$2:$H$201,"&lt;"&amp;EDATE(A12,1))</f>
        <v>20135.03</v>
      </c>
      <c r="C12" s="26" t="n">
        <f aca="false">SUMIFS(Dataset!$I$2:$I$201,Dataset!$H$2:$H$201,"&gt;="&amp;A12,Dataset!$H$2:$H$201,"&lt;"&amp;EDATE(A12,1))</f>
        <v>6814.88</v>
      </c>
      <c r="D12" s="28" t="n">
        <f aca="false">COUNTIFS(Dataset!$H$2:$H$201,"&gt;="&amp;A12,Dataset!$H$2:$H$201,"&lt;"&amp;EDATE(A12,1))</f>
        <v>20</v>
      </c>
      <c r="E12" s="29" t="n">
        <f aca="false">IFERROR(B12/B11-1,0)</f>
        <v>0.416439680230513</v>
      </c>
      <c r="F12" s="28" t="str">
        <f aca="false">IF(E12&gt;0,"▲",IF(E12&lt;0,"▼","—"))</f>
        <v>▲</v>
      </c>
    </row>
    <row r="13" customFormat="false" ht="15" hidden="false" customHeight="true" outlineLevel="0" collapsed="false">
      <c r="A13" s="27" t="n">
        <v>45627</v>
      </c>
      <c r="B13" s="26" t="n">
        <f aca="false">SUMIFS(Dataset!$E$2:$E$201,Dataset!$H$2:$H$201,"&gt;="&amp;A13,Dataset!$H$2:$H$201,"&lt;"&amp;EDATE(A13,1))</f>
        <v>11120.04</v>
      </c>
      <c r="C13" s="26" t="n">
        <f aca="false">SUMIFS(Dataset!$I$2:$I$201,Dataset!$H$2:$H$201,"&gt;="&amp;A13,Dataset!$H$2:$H$201,"&lt;"&amp;EDATE(A13,1))</f>
        <v>3549.99</v>
      </c>
      <c r="D13" s="28" t="n">
        <f aca="false">COUNTIFS(Dataset!$H$2:$H$201,"&gt;="&amp;A13,Dataset!$H$2:$H$201,"&lt;"&amp;EDATE(A13,1))</f>
        <v>11</v>
      </c>
      <c r="E13" s="29" t="n">
        <f aca="false">IFERROR(B13/B12-1,0)</f>
        <v>-0.447726673364778</v>
      </c>
      <c r="F13" s="28" t="str">
        <f aca="false">IF(E13&gt;0,"▲",IF(E13&lt;0,"▼","—"))</f>
        <v>▼</v>
      </c>
    </row>
    <row r="14" customFormat="false" ht="15" hidden="false" customHeight="true" outlineLevel="0" collapsed="false">
      <c r="A14" s="27" t="n">
        <v>45658</v>
      </c>
      <c r="B14" s="26" t="n">
        <f aca="false">SUMIFS(Dataset!$E$2:$E$201,Dataset!$H$2:$H$201,"&gt;="&amp;A14,Dataset!$H$2:$H$201,"&lt;"&amp;EDATE(A14,1))</f>
        <v>14914.65</v>
      </c>
      <c r="C14" s="26" t="n">
        <f aca="false">SUMIFS(Dataset!$I$2:$I$201,Dataset!$H$2:$H$201,"&gt;="&amp;A14,Dataset!$H$2:$H$201,"&lt;"&amp;EDATE(A14,1))</f>
        <v>5763.4</v>
      </c>
      <c r="D14" s="28" t="n">
        <f aca="false">COUNTIFS(Dataset!$H$2:$H$201,"&gt;="&amp;A14,Dataset!$H$2:$H$201,"&lt;"&amp;EDATE(A14,1))</f>
        <v>16</v>
      </c>
      <c r="E14" s="29" t="n">
        <f aca="false">IFERROR(B14/B13-1,0)</f>
        <v>0.341240678990363</v>
      </c>
      <c r="F14" s="28" t="str">
        <f aca="false">IF(E14&gt;0,"▲",IF(E14&lt;0,"▼","—"))</f>
        <v>▲</v>
      </c>
    </row>
    <row r="15" customFormat="false" ht="15" hidden="false" customHeight="true" outlineLevel="0" collapsed="false">
      <c r="A15" s="27" t="n">
        <v>45689</v>
      </c>
      <c r="B15" s="26" t="n">
        <f aca="false">SUMIFS(Dataset!$E$2:$E$201,Dataset!$H$2:$H$201,"&gt;="&amp;A15,Dataset!$H$2:$H$201,"&lt;"&amp;EDATE(A15,1))</f>
        <v>14006.36</v>
      </c>
      <c r="C15" s="26" t="n">
        <f aca="false">SUMIFS(Dataset!$I$2:$I$201,Dataset!$H$2:$H$201,"&gt;="&amp;A15,Dataset!$H$2:$H$201,"&lt;"&amp;EDATE(A15,1))</f>
        <v>5039.23</v>
      </c>
      <c r="D15" s="28" t="n">
        <f aca="false">COUNTIFS(Dataset!$H$2:$H$201,"&gt;="&amp;A15,Dataset!$H$2:$H$201,"&lt;"&amp;EDATE(A15,1))</f>
        <v>14</v>
      </c>
      <c r="E15" s="29" t="n">
        <f aca="false">IFERROR(B15/B14-1,0)</f>
        <v>-0.0608991830180392</v>
      </c>
      <c r="F15" s="28" t="str">
        <f aca="false">IF(E15&gt;0,"▲",IF(E15&lt;0,"▼","—"))</f>
        <v>▼</v>
      </c>
    </row>
    <row r="16" customFormat="false" ht="15" hidden="false" customHeight="true" outlineLevel="0" collapsed="false">
      <c r="A16" s="27" t="n">
        <v>45717</v>
      </c>
      <c r="B16" s="26" t="n">
        <f aca="false">SUMIFS(Dataset!$E$2:$E$201,Dataset!$H$2:$H$201,"&gt;="&amp;A16,Dataset!$H$2:$H$201,"&lt;"&amp;EDATE(A16,1))</f>
        <v>17655.22</v>
      </c>
      <c r="C16" s="26" t="n">
        <f aca="false">SUMIFS(Dataset!$I$2:$I$201,Dataset!$H$2:$H$201,"&gt;="&amp;A16,Dataset!$H$2:$H$201,"&lt;"&amp;EDATE(A16,1))</f>
        <v>7071.39</v>
      </c>
      <c r="D16" s="28" t="n">
        <f aca="false">COUNTIFS(Dataset!$H$2:$H$201,"&gt;="&amp;A16,Dataset!$H$2:$H$201,"&lt;"&amp;EDATE(A16,1))</f>
        <v>19</v>
      </c>
      <c r="E16" s="29" t="n">
        <f aca="false">IFERROR(B16/B15-1,0)</f>
        <v>0.260514509122998</v>
      </c>
      <c r="F16" s="28" t="str">
        <f aca="false">IF(E16&gt;0,"▲",IF(E16&lt;0,"▼","—"))</f>
        <v>▲</v>
      </c>
    </row>
    <row r="17" customFormat="false" ht="15" hidden="false" customHeight="true" outlineLevel="0" collapsed="false">
      <c r="A17" s="27" t="n">
        <v>45748</v>
      </c>
      <c r="B17" s="26" t="n">
        <f aca="false">SUMIFS(Dataset!$E$2:$E$201,Dataset!$H$2:$H$201,"&gt;="&amp;A17,Dataset!$H$2:$H$201,"&lt;"&amp;EDATE(A17,1))</f>
        <v>3212.17</v>
      </c>
      <c r="C17" s="26" t="n">
        <f aca="false">SUMIFS(Dataset!$I$2:$I$201,Dataset!$H$2:$H$201,"&gt;="&amp;A17,Dataset!$H$2:$H$201,"&lt;"&amp;EDATE(A17,1))</f>
        <v>1398.85</v>
      </c>
      <c r="D17" s="28" t="n">
        <f aca="false">COUNTIFS(Dataset!$H$2:$H$201,"&gt;="&amp;A17,Dataset!$H$2:$H$201,"&lt;"&amp;EDATE(A17,1))</f>
        <v>4</v>
      </c>
      <c r="E17" s="29" t="n">
        <f aca="false">IFERROR(B17/B16-1,0)</f>
        <v>-0.818061173975742</v>
      </c>
      <c r="F17" s="28" t="str">
        <f aca="false">IF(E17&gt;0,"▲",IF(E17&lt;0,"▼","—"))</f>
        <v>▼</v>
      </c>
    </row>
    <row r="18" customFormat="false" ht="15" hidden="false" customHeight="false" outlineLevel="0" collapsed="false"/>
    <row r="19" customFormat="false" ht="15" hidden="false" customHeight="false" outlineLevel="0" collapsed="false"/>
    <row r="20" customFormat="false" ht="17.25" hidden="false" customHeight="true" outlineLevel="0" collapsed="false">
      <c r="A20" s="30" t="s">
        <v>115</v>
      </c>
      <c r="B20" s="12"/>
      <c r="C20" s="12"/>
      <c r="D20" s="12"/>
      <c r="E20" s="12"/>
      <c r="F20" s="12"/>
      <c r="G20" s="12"/>
      <c r="H20" s="12"/>
    </row>
    <row r="21" customFormat="false" ht="15" hidden="false" customHeight="true" outlineLevel="0" collapsed="false">
      <c r="A21" s="4" t="s">
        <v>38</v>
      </c>
      <c r="B21" s="4" t="s">
        <v>16</v>
      </c>
      <c r="C21" s="4" t="s">
        <v>17</v>
      </c>
      <c r="D21" s="4" t="s">
        <v>18</v>
      </c>
      <c r="E21" s="4" t="s">
        <v>19</v>
      </c>
      <c r="F21" s="4" t="s">
        <v>20</v>
      </c>
      <c r="G21" s="4" t="s">
        <v>116</v>
      </c>
    </row>
    <row r="22" customFormat="false" ht="15" hidden="false" customHeight="true" outlineLevel="0" collapsed="false">
      <c r="A22" s="31" t="s">
        <v>67</v>
      </c>
      <c r="B22" s="26" t="n">
        <f aca="false">SUMIFS(Dataset!$E$2:$E$201,Dataset!$C$2:$C$201,$A22,Dataset!$D$2:$D$201,B$21)</f>
        <v>11297.15</v>
      </c>
      <c r="C22" s="22" t="n">
        <f aca="false">SUMIFS(Dataset!$E$2:$E$201,Dataset!$C$2:$C$201,$A22,Dataset!$D$2:$D$201,C$21)</f>
        <v>12200.26</v>
      </c>
      <c r="D22" s="22" t="n">
        <f aca="false">SUMIFS(Dataset!$E$2:$E$201,Dataset!$C$2:$C$201,$A22,Dataset!$D$2:$D$201,D$21)</f>
        <v>6621.24</v>
      </c>
      <c r="E22" s="22" t="n">
        <f aca="false">SUMIFS(Dataset!$E$2:$E$201,Dataset!$C$2:$C$201,$A22,Dataset!$D$2:$D$201,E$21)</f>
        <v>4876.96</v>
      </c>
      <c r="F22" s="22" t="n">
        <f aca="false">SUMIFS(Dataset!$E$2:$E$201,Dataset!$C$2:$C$201,$A22,Dataset!$D$2:$D$201,F$21)</f>
        <v>8472.72</v>
      </c>
      <c r="G22" s="22" t="n">
        <f aca="false">SUM(B22:F22)</f>
        <v>43468.33</v>
      </c>
    </row>
    <row r="23" customFormat="false" ht="15" hidden="false" customHeight="true" outlineLevel="0" collapsed="false">
      <c r="A23" s="31" t="s">
        <v>53</v>
      </c>
      <c r="B23" s="26" t="n">
        <f aca="false">SUMIFS(Dataset!$E$2:$E$201,Dataset!$C$2:$C$201,$A23,Dataset!$D$2:$D$201,B$21)</f>
        <v>11389.09</v>
      </c>
      <c r="C23" s="22" t="n">
        <f aca="false">SUMIFS(Dataset!$E$2:$E$201,Dataset!$C$2:$C$201,$A23,Dataset!$D$2:$D$201,C$21)</f>
        <v>2401.45</v>
      </c>
      <c r="D23" s="22" t="n">
        <f aca="false">SUMIFS(Dataset!$E$2:$E$201,Dataset!$C$2:$C$201,$A23,Dataset!$D$2:$D$201,D$21)</f>
        <v>2869.54</v>
      </c>
      <c r="E23" s="22" t="n">
        <f aca="false">SUMIFS(Dataset!$E$2:$E$201,Dataset!$C$2:$C$201,$A23,Dataset!$D$2:$D$201,E$21)</f>
        <v>7592.34</v>
      </c>
      <c r="F23" s="22" t="n">
        <f aca="false">SUMIFS(Dataset!$E$2:$E$201,Dataset!$C$2:$C$201,$A23,Dataset!$D$2:$D$201,F$21)</f>
        <v>8189.22</v>
      </c>
      <c r="G23" s="22" t="n">
        <f aca="false">SUM(B23:F23)</f>
        <v>32441.64</v>
      </c>
    </row>
    <row r="24" customFormat="false" ht="15" hidden="false" customHeight="true" outlineLevel="0" collapsed="false">
      <c r="A24" s="31" t="s">
        <v>58</v>
      </c>
      <c r="B24" s="26" t="n">
        <f aca="false">SUMIFS(Dataset!$E$2:$E$201,Dataset!$C$2:$C$201,$A24,Dataset!$D$2:$D$201,B$21)</f>
        <v>8037.01</v>
      </c>
      <c r="C24" s="22" t="n">
        <f aca="false">SUMIFS(Dataset!$E$2:$E$201,Dataset!$C$2:$C$201,$A24,Dataset!$D$2:$D$201,C$21)</f>
        <v>8422.82</v>
      </c>
      <c r="D24" s="22" t="n">
        <f aca="false">SUMIFS(Dataset!$E$2:$E$201,Dataset!$C$2:$C$201,$A24,Dataset!$D$2:$D$201,D$21)</f>
        <v>8191.71</v>
      </c>
      <c r="E24" s="22" t="n">
        <f aca="false">SUMIFS(Dataset!$E$2:$E$201,Dataset!$C$2:$C$201,$A24,Dataset!$D$2:$D$201,E$21)</f>
        <v>6978.08</v>
      </c>
      <c r="F24" s="22" t="n">
        <f aca="false">SUMIFS(Dataset!$E$2:$E$201,Dataset!$C$2:$C$201,$A24,Dataset!$D$2:$D$201,F$21)</f>
        <v>3345.8</v>
      </c>
      <c r="G24" s="22" t="n">
        <f aca="false">SUM(B24:F24)</f>
        <v>34975.42</v>
      </c>
    </row>
    <row r="25" customFormat="false" ht="15" hidden="false" customHeight="true" outlineLevel="0" collapsed="false">
      <c r="A25" s="31" t="s">
        <v>55</v>
      </c>
      <c r="B25" s="26" t="n">
        <f aca="false">SUMIFS(Dataset!$E$2:$E$201,Dataset!$C$2:$C$201,$A25,Dataset!$D$2:$D$201,B$21)</f>
        <v>9588.04</v>
      </c>
      <c r="C25" s="22" t="n">
        <f aca="false">SUMIFS(Dataset!$E$2:$E$201,Dataset!$C$2:$C$201,$A25,Dataset!$D$2:$D$201,C$21)</f>
        <v>8393.63</v>
      </c>
      <c r="D25" s="22" t="n">
        <f aca="false">SUMIFS(Dataset!$E$2:$E$201,Dataset!$C$2:$C$201,$A25,Dataset!$D$2:$D$201,D$21)</f>
        <v>11989.07</v>
      </c>
      <c r="E25" s="22" t="n">
        <f aca="false">SUMIFS(Dataset!$E$2:$E$201,Dataset!$C$2:$C$201,$A25,Dataset!$D$2:$D$201,E$21)</f>
        <v>7982.73</v>
      </c>
      <c r="F25" s="22" t="n">
        <f aca="false">SUMIFS(Dataset!$E$2:$E$201,Dataset!$C$2:$C$201,$A25,Dataset!$D$2:$D$201,F$21)</f>
        <v>2295.32</v>
      </c>
      <c r="G25" s="22" t="n">
        <f aca="false">SUM(B25:F25)</f>
        <v>40248.79</v>
      </c>
    </row>
    <row r="26" customFormat="false" ht="15" hidden="false" customHeight="true" outlineLevel="0" collapsed="false">
      <c r="A26" s="31" t="s">
        <v>48</v>
      </c>
      <c r="B26" s="26" t="n">
        <f aca="false">SUMIFS(Dataset!$E$2:$E$201,Dataset!$C$2:$C$201,$A26,Dataset!$D$2:$D$201,B$21)</f>
        <v>6691.17</v>
      </c>
      <c r="C26" s="22" t="n">
        <f aca="false">SUMIFS(Dataset!$E$2:$E$201,Dataset!$C$2:$C$201,$A26,Dataset!$D$2:$D$201,C$21)</f>
        <v>10509.43</v>
      </c>
      <c r="D26" s="22" t="n">
        <f aca="false">SUMIFS(Dataset!$E$2:$E$201,Dataset!$C$2:$C$201,$A26,Dataset!$D$2:$D$201,D$21)</f>
        <v>11372.44</v>
      </c>
      <c r="E26" s="22" t="n">
        <f aca="false">SUMIFS(Dataset!$E$2:$E$201,Dataset!$C$2:$C$201,$A26,Dataset!$D$2:$D$201,E$21)</f>
        <v>9182.78</v>
      </c>
      <c r="F26" s="22" t="n">
        <f aca="false">SUMIFS(Dataset!$E$2:$E$201,Dataset!$C$2:$C$201,$A26,Dataset!$D$2:$D$201,F$21)</f>
        <v>6327.76</v>
      </c>
      <c r="G26" s="22" t="n">
        <f aca="false">SUM(B26:F26)</f>
        <v>44083.58</v>
      </c>
    </row>
    <row r="27" customFormat="false" ht="15" hidden="false" customHeight="true" outlineLevel="0" collapsed="false">
      <c r="A27" s="31" t="s">
        <v>116</v>
      </c>
      <c r="B27" s="32" t="n">
        <f aca="false">SUM(B22:B26)</f>
        <v>47002.46</v>
      </c>
      <c r="C27" s="33" t="n">
        <f aca="false">SUM(C22:C26)</f>
        <v>41927.59</v>
      </c>
      <c r="D27" s="33" t="n">
        <f aca="false">SUM(D22:D26)</f>
        <v>41044</v>
      </c>
      <c r="E27" s="33" t="n">
        <f aca="false">SUM(E22:E26)</f>
        <v>36612.89</v>
      </c>
      <c r="F27" s="33" t="n">
        <f aca="false">SUM(F22:F26)</f>
        <v>28630.82</v>
      </c>
      <c r="G27" s="33" t="n">
        <f aca="false">SUM(G22:G26)</f>
        <v>195217.76</v>
      </c>
    </row>
    <row r="28" customFormat="false" ht="15" hidden="false" customHeight="false" outlineLevel="0" collapsed="false"/>
    <row r="29" customFormat="false" ht="15" hidden="false" customHeight="false" outlineLevel="0" collapsed="false"/>
    <row r="30" customFormat="false" ht="15" hidden="false" customHeight="true" outlineLevel="0" collapsed="false">
      <c r="A30" s="30" t="s">
        <v>23</v>
      </c>
      <c r="B30" s="12"/>
      <c r="C30" s="12"/>
      <c r="D30" s="12"/>
      <c r="E30" s="12"/>
      <c r="F30" s="12"/>
      <c r="G30" s="12"/>
      <c r="H30" s="12"/>
    </row>
    <row r="31" customFormat="false" ht="30" hidden="false" customHeight="true" outlineLevel="0" collapsed="false">
      <c r="A31" s="3" t="s">
        <v>117</v>
      </c>
    </row>
    <row r="32" customFormat="false" ht="30" hidden="false" customHeight="true" outlineLevel="0" collapsed="false">
      <c r="A32" s="3" t="s">
        <v>118</v>
      </c>
    </row>
    <row r="33" customFormat="false" ht="30" hidden="false" customHeight="true" outlineLevel="0" collapsed="false">
      <c r="A33" s="3" t="s">
        <v>119</v>
      </c>
    </row>
    <row r="34" customFormat="false" ht="30" hidden="false" customHeight="true" outlineLevel="0" collapsed="false">
      <c r="A34" s="3" t="s">
        <v>120</v>
      </c>
    </row>
    <row r="35" customFormat="false" ht="30" hidden="false" customHeight="true" outlineLevel="0" collapsed="false">
      <c r="A35" s="3" t="s">
        <v>121</v>
      </c>
    </row>
  </sheetData>
  <mergeCells count="2">
    <mergeCell ref="A1:H1"/>
    <mergeCell ref="A3:F3"/>
  </mergeCells>
  <conditionalFormatting sqref="E6:E17">
    <cfRule type="cellIs" priority="2" operator="greaterThan" aboveAverage="0" equalAverage="0" bottom="0" percent="0" rank="0" text="" dxfId="3">
      <formula>0</formula>
    </cfRule>
    <cfRule type="cellIs" priority="3" operator="greaterThan" aboveAverage="0" equalAverage="0" bottom="0" percent="0" rank="0" text="" dxfId="4">
      <formula>0</formula>
    </cfRule>
    <cfRule type="cellIs" priority="4"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20"/>
    <col collapsed="false" customWidth="true" hidden="false" outlineLevel="0" max="3" min="3" style="1" width="22"/>
    <col collapsed="false" customWidth="true" hidden="false" outlineLevel="0" max="5" min="4" style="1" width="18"/>
    <col collapsed="false" customWidth="true" hidden="false" outlineLevel="0" max="6" min="6" style="1" width="28"/>
    <col collapsed="false" customWidth="true" hidden="false" outlineLevel="0" max="8" min="7" style="0" width="13"/>
  </cols>
  <sheetData>
    <row r="1" customFormat="false" ht="27.75" hidden="false" customHeight="true" outlineLevel="0" collapsed="false">
      <c r="A1" s="2" t="s">
        <v>122</v>
      </c>
      <c r="B1" s="2"/>
      <c r="C1" s="2"/>
      <c r="D1" s="2"/>
      <c r="E1" s="2"/>
      <c r="F1" s="2"/>
      <c r="G1" s="2"/>
      <c r="H1" s="2"/>
    </row>
    <row r="2" customFormat="false" ht="15" hidden="false" customHeight="false" outlineLevel="0" collapsed="false"/>
    <row r="3" customFormat="false" ht="15" hidden="false" customHeight="true" outlineLevel="0" collapsed="false">
      <c r="A3" s="2" t="s">
        <v>123</v>
      </c>
      <c r="B3" s="2"/>
      <c r="C3" s="2"/>
      <c r="D3" s="2"/>
    </row>
    <row r="4" customFormat="false" ht="15" hidden="false" customHeight="true" outlineLevel="0" collapsed="false">
      <c r="A4" s="3" t="s">
        <v>124</v>
      </c>
      <c r="B4" s="22" t="n">
        <f aca="false">SUM(Dataset!I2:I201)</f>
        <v>68287.01</v>
      </c>
    </row>
    <row r="5" customFormat="false" ht="15" hidden="false" customHeight="true" outlineLevel="0" collapsed="false">
      <c r="A5" s="3" t="s">
        <v>125</v>
      </c>
      <c r="B5" s="22" t="n">
        <f aca="false">SUM(Dataset!E2:E201)</f>
        <v>195217.76</v>
      </c>
    </row>
    <row r="6" customFormat="false" ht="15" hidden="false" customHeight="true" outlineLevel="0" collapsed="false">
      <c r="A6" s="3" t="s">
        <v>126</v>
      </c>
      <c r="B6" s="34" t="n">
        <f aca="false">AVERAGE(Dataset!G2:G201)</f>
        <v>0.09725</v>
      </c>
    </row>
    <row r="7" customFormat="false" ht="15" hidden="false" customHeight="false" outlineLevel="0" collapsed="false"/>
    <row r="8" customFormat="false" ht="15" hidden="false" customHeight="true" outlineLevel="0" collapsed="false">
      <c r="A8" s="35" t="s">
        <v>127</v>
      </c>
      <c r="B8" s="35"/>
      <c r="C8" s="35"/>
      <c r="D8" s="35"/>
      <c r="E8" s="35"/>
      <c r="F8" s="35"/>
    </row>
    <row r="9" customFormat="false" ht="15" hidden="false" customHeight="true" outlineLevel="0" collapsed="false">
      <c r="A9" s="4" t="s">
        <v>128</v>
      </c>
      <c r="B9" s="4" t="s">
        <v>129</v>
      </c>
      <c r="C9" s="4" t="s">
        <v>130</v>
      </c>
      <c r="D9" s="4" t="s">
        <v>131</v>
      </c>
      <c r="E9" s="4" t="s">
        <v>132</v>
      </c>
      <c r="F9" s="4" t="s">
        <v>133</v>
      </c>
    </row>
    <row r="10" customFormat="false" ht="15" hidden="false" customHeight="true" outlineLevel="0" collapsed="false">
      <c r="A10" s="36" t="n">
        <v>0</v>
      </c>
      <c r="B10" s="37" t="n">
        <f aca="false">A10-$B$6</f>
        <v>-0.09725</v>
      </c>
      <c r="C10" s="26" t="n">
        <f aca="false">$B$4+$B$5*($B$6-A10)</f>
        <v>87271.93716</v>
      </c>
      <c r="D10" s="26" t="n">
        <f aca="false">C10-$B$4</f>
        <v>18984.92716</v>
      </c>
      <c r="E10" s="37" t="n">
        <f aca="false">D10/$B$4</f>
        <v>0.278016670520499</v>
      </c>
      <c r="F10" s="28" t="str">
        <f aca="false">IF(D10&gt;0,"Higher modeled profit",IF(D10&lt;0,"Lower modeled profit","Baseline"))</f>
        <v>Higher modeled profit</v>
      </c>
    </row>
    <row r="11" customFormat="false" ht="15" hidden="false" customHeight="true" outlineLevel="0" collapsed="false">
      <c r="A11" s="36" t="n">
        <v>0.05</v>
      </c>
      <c r="B11" s="37" t="n">
        <f aca="false">A11-$B$6</f>
        <v>-0.04725</v>
      </c>
      <c r="C11" s="26" t="n">
        <f aca="false">$B$4+$B$5*($B$6-A11)</f>
        <v>77511.04916</v>
      </c>
      <c r="D11" s="26" t="n">
        <f aca="false">C11-$B$4</f>
        <v>9224.03916</v>
      </c>
      <c r="E11" s="37" t="n">
        <f aca="false">D11/$B$4</f>
        <v>0.135077508299163</v>
      </c>
      <c r="F11" s="28" t="str">
        <f aca="false">IF(D11&gt;0,"Higher modeled profit",IF(D11&lt;0,"Lower modeled profit","Baseline"))</f>
        <v>Higher modeled profit</v>
      </c>
    </row>
    <row r="12" customFormat="false" ht="15" hidden="false" customHeight="true" outlineLevel="0" collapsed="false">
      <c r="A12" s="36" t="n">
        <v>0.1</v>
      </c>
      <c r="B12" s="37" t="n">
        <f aca="false">A12-$B$6</f>
        <v>0.00275</v>
      </c>
      <c r="C12" s="26" t="n">
        <f aca="false">$B$4+$B$5*($B$6-A12)</f>
        <v>67750.16116</v>
      </c>
      <c r="D12" s="26" t="n">
        <f aca="false">C12-$B$4</f>
        <v>-536.848840000006</v>
      </c>
      <c r="E12" s="37" t="n">
        <f aca="false">D12/$B$4</f>
        <v>-0.00786165392217357</v>
      </c>
      <c r="F12" s="28" t="str">
        <f aca="false">IF(D12&gt;0,"Higher modeled profit",IF(D12&lt;0,"Lower modeled profit","Baseline"))</f>
        <v>Lower modeled profit</v>
      </c>
    </row>
    <row r="13" customFormat="false" ht="15" hidden="false" customHeight="true" outlineLevel="0" collapsed="false">
      <c r="A13" s="36" t="n">
        <v>0.15</v>
      </c>
      <c r="B13" s="37" t="n">
        <f aca="false">A13-$B$6</f>
        <v>0.05275</v>
      </c>
      <c r="C13" s="26" t="n">
        <f aca="false">$B$4+$B$5*($B$6-A13)</f>
        <v>57989.27316</v>
      </c>
      <c r="D13" s="26" t="n">
        <f aca="false">C13-$B$4</f>
        <v>-10297.73684</v>
      </c>
      <c r="E13" s="37" t="n">
        <f aca="false">D13/$B$4</f>
        <v>-0.15080081614351</v>
      </c>
      <c r="F13" s="28" t="str">
        <f aca="false">IF(D13&gt;0,"Higher modeled profit",IF(D13&lt;0,"Lower modeled profit","Baseline"))</f>
        <v>Lower modeled profit</v>
      </c>
    </row>
    <row r="14" customFormat="false" ht="15" hidden="false" customHeight="true" outlineLevel="0" collapsed="false">
      <c r="A14" s="36" t="n">
        <v>0.2</v>
      </c>
      <c r="B14" s="37" t="n">
        <f aca="false">A14-$B$6</f>
        <v>0.10275</v>
      </c>
      <c r="C14" s="26" t="n">
        <f aca="false">$B$4+$B$5*($B$6-A14)</f>
        <v>48228.38516</v>
      </c>
      <c r="D14" s="26" t="n">
        <f aca="false">C14-$B$4</f>
        <v>-20058.62484</v>
      </c>
      <c r="E14" s="37" t="n">
        <f aca="false">D14/$B$4</f>
        <v>-0.293739978364846</v>
      </c>
      <c r="F14" s="28" t="str">
        <f aca="false">IF(D14&gt;0,"Higher modeled profit",IF(D14&lt;0,"Lower modeled profit","Baseline"))</f>
        <v>Lower modeled profit</v>
      </c>
    </row>
    <row r="15" customFormat="false" ht="15" hidden="false" customHeight="true" outlineLevel="0" collapsed="false">
      <c r="A15" s="36" t="n">
        <v>0.25</v>
      </c>
      <c r="B15" s="37" t="n">
        <f aca="false">A15-$B$6</f>
        <v>0.15275</v>
      </c>
      <c r="C15" s="26" t="n">
        <f aca="false">$B$4+$B$5*($B$6-A15)</f>
        <v>38467.49716</v>
      </c>
      <c r="D15" s="26" t="n">
        <f aca="false">C15-$B$4</f>
        <v>-29819.51284</v>
      </c>
      <c r="E15" s="37" t="n">
        <f aca="false">D15/$B$4</f>
        <v>-0.436679140586182</v>
      </c>
      <c r="F15" s="28" t="str">
        <f aca="false">IF(D15&gt;0,"Higher modeled profit",IF(D15&lt;0,"Lower modeled profit","Baseline"))</f>
        <v>Lower modeled profit</v>
      </c>
    </row>
    <row r="16" customFormat="false" ht="15" hidden="false" customHeight="false" outlineLevel="0" collapsed="false"/>
    <row r="17" customFormat="false" ht="15" hidden="false" customHeight="false" outlineLevel="0" collapsed="false"/>
    <row r="18" customFormat="false" ht="15" hidden="false" customHeight="true" outlineLevel="0" collapsed="false">
      <c r="A18" s="3" t="s">
        <v>134</v>
      </c>
      <c r="B18" s="16" t="s">
        <v>135</v>
      </c>
      <c r="C18" s="16"/>
      <c r="D18" s="16"/>
      <c r="E18" s="16"/>
      <c r="F18" s="16"/>
    </row>
    <row r="19" customFormat="false" ht="15" hidden="false" customHeight="true" outlineLevel="0" collapsed="false">
      <c r="B19" s="16"/>
      <c r="C19" s="16"/>
      <c r="D19" s="16"/>
      <c r="E19" s="16"/>
      <c r="F19" s="16"/>
    </row>
    <row r="20" customFormat="false" ht="15" hidden="false" customHeight="false" outlineLevel="0" collapsed="false"/>
    <row r="21" customFormat="false" ht="15" hidden="false" customHeight="true" outlineLevel="0" collapsed="false">
      <c r="A21" s="2" t="s">
        <v>136</v>
      </c>
      <c r="B21" s="2"/>
      <c r="C21" s="2"/>
      <c r="D21" s="2"/>
      <c r="E21" s="2"/>
    </row>
    <row r="22" customFormat="false" ht="15" hidden="false" customHeight="true" outlineLevel="0" collapsed="false">
      <c r="A22" s="3" t="s">
        <v>137</v>
      </c>
      <c r="B22" s="22" t="n">
        <f aca="false">MIN(A10:A15)</f>
        <v>0</v>
      </c>
    </row>
    <row r="23" customFormat="false" ht="15" hidden="false" customHeight="true" outlineLevel="0" collapsed="false">
      <c r="A23" s="3" t="s">
        <v>138</v>
      </c>
      <c r="B23" s="22" t="n">
        <f aca="false">MAX(C10:C15)</f>
        <v>87271.93716</v>
      </c>
    </row>
    <row r="24" customFormat="false" ht="15" hidden="false" customHeight="true" outlineLevel="0" collapsed="false">
      <c r="A24" s="3" t="s">
        <v>139</v>
      </c>
      <c r="B24" s="22" t="n">
        <f aca="false">B23-$B$4</f>
        <v>18984.92716</v>
      </c>
    </row>
  </sheetData>
  <mergeCells count="5">
    <mergeCell ref="A1:H1"/>
    <mergeCell ref="A3:D3"/>
    <mergeCell ref="A8:F8"/>
    <mergeCell ref="B18:F19"/>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28"/>
    <col collapsed="false" customWidth="true" hidden="false" outlineLevel="0" max="6" min="4" style="1" width="18"/>
    <col collapsed="false" customWidth="true" hidden="false" outlineLevel="0" max="8" min="7" style="0" width="13"/>
  </cols>
  <sheetData>
    <row r="1" customFormat="false" ht="27.75" hidden="false" customHeight="true" outlineLevel="0" collapsed="false">
      <c r="A1" s="2" t="s">
        <v>140</v>
      </c>
      <c r="B1" s="2"/>
      <c r="C1" s="2"/>
      <c r="D1" s="2"/>
      <c r="E1" s="2"/>
      <c r="F1" s="2"/>
      <c r="G1" s="2"/>
      <c r="H1" s="2"/>
    </row>
    <row r="2" customFormat="false" ht="15" hidden="false" customHeight="false" outlineLevel="0" collapsed="false"/>
    <row r="3" customFormat="false" ht="15" hidden="false" customHeight="true" outlineLevel="0" collapsed="false">
      <c r="A3" s="2" t="s">
        <v>141</v>
      </c>
      <c r="B3" s="2"/>
      <c r="C3" s="2"/>
      <c r="D3" s="2"/>
      <c r="E3" s="12"/>
      <c r="F3" s="12"/>
      <c r="G3" s="12"/>
      <c r="H3" s="12"/>
    </row>
    <row r="4" customFormat="false" ht="15" hidden="false" customHeight="true" outlineLevel="0" collapsed="false">
      <c r="A4" s="28" t="s">
        <v>142</v>
      </c>
      <c r="B4" s="38" t="n">
        <f aca="false">CORREL(Dataset!E2:E201,Dataset!I2:I201)</f>
        <v>0.773403064143426</v>
      </c>
    </row>
    <row r="5" customFormat="false" ht="15" hidden="false" customHeight="true" outlineLevel="0" collapsed="false">
      <c r="A5" s="28" t="s">
        <v>143</v>
      </c>
      <c r="B5" s="38" t="n">
        <f aca="false">RSQ(Dataset!I2:I201,Dataset!E2:E201)</f>
        <v>0.598152299626441</v>
      </c>
    </row>
    <row r="6" customFormat="false" ht="15" hidden="false" customHeight="true" outlineLevel="0" collapsed="false">
      <c r="A6" s="28" t="s">
        <v>144</v>
      </c>
      <c r="B6" s="38" t="n">
        <f aca="false">1-(1-B5)*(COUNT(Dataset!I2:I201)-1)/(COUNT(Dataset!I2:I201)-2)</f>
        <v>0.59612276578617</v>
      </c>
    </row>
    <row r="7" customFormat="false" ht="15" hidden="false" customHeight="true" outlineLevel="0" collapsed="false">
      <c r="A7" s="28" t="s">
        <v>145</v>
      </c>
      <c r="B7" s="38" t="n">
        <f aca="false">STEYX(Dataset!I2:I201,Dataset!E2:E201)</f>
        <v>86.2812305296652</v>
      </c>
    </row>
    <row r="8" customFormat="false" ht="15" hidden="false" customHeight="true" outlineLevel="0" collapsed="false">
      <c r="A8" s="28" t="s">
        <v>146</v>
      </c>
      <c r="B8" s="39" t="n">
        <f aca="false">COUNT(Dataset!E2:E201)</f>
        <v>200</v>
      </c>
    </row>
    <row r="9" customFormat="false" ht="15" hidden="false" customHeight="false" outlineLevel="0" collapsed="false"/>
    <row r="10" customFormat="false" ht="15" hidden="false" customHeight="true" outlineLevel="0" collapsed="false">
      <c r="A10" s="3" t="s">
        <v>147</v>
      </c>
    </row>
    <row r="11" customFormat="false" ht="15" hidden="false" customHeight="true" outlineLevel="0" collapsed="false">
      <c r="A11" s="40"/>
      <c r="B11" s="41" t="s">
        <v>148</v>
      </c>
      <c r="C11" s="41" t="s">
        <v>149</v>
      </c>
      <c r="D11" s="41" t="s">
        <v>150</v>
      </c>
      <c r="E11" s="41" t="s">
        <v>151</v>
      </c>
      <c r="F11" s="41" t="s">
        <v>152</v>
      </c>
    </row>
    <row r="12" customFormat="false" ht="15" hidden="false" customHeight="true" outlineLevel="0" collapsed="false">
      <c r="A12" s="42" t="s">
        <v>153</v>
      </c>
      <c r="B12" s="42" t="n">
        <f aca="false">1</f>
        <v>1</v>
      </c>
      <c r="C12" s="42" t="n">
        <f aca="false">RSQ(Dataset!I2:I201,Dataset!E2:E201)*DEVSQ(Dataset!I2:I201)</f>
        <v>2194058.18334028</v>
      </c>
      <c r="D12" s="42" t="n">
        <f aca="false">C12/B12</f>
        <v>2194058.18334028</v>
      </c>
      <c r="E12" s="42" t="n">
        <f aca="false">D12/((DEVSQ(Dataset!I2:I201)-C12)/198)</f>
        <v>294.723984275481</v>
      </c>
      <c r="F12" s="42" t="e">
        <f aca="false">f.dist.rt(E12,1,198)</f>
        <v>#NAME?</v>
      </c>
    </row>
    <row r="13" customFormat="false" ht="15" hidden="false" customHeight="true" outlineLevel="0" collapsed="false">
      <c r="A13" s="28" t="s">
        <v>154</v>
      </c>
      <c r="B13" s="38" t="n">
        <f aca="false">198</f>
        <v>198</v>
      </c>
      <c r="C13" s="38" t="n">
        <f aca="false">DEVSQ(Dataset!I2:I201)-C12</f>
        <v>1474001.24685922</v>
      </c>
      <c r="D13" s="38" t="n">
        <f aca="false">C13/B13</f>
        <v>7444.45074171322</v>
      </c>
      <c r="E13" s="43"/>
      <c r="F13" s="44"/>
    </row>
    <row r="14" customFormat="false" ht="15" hidden="false" customHeight="true" outlineLevel="0" collapsed="false">
      <c r="A14" s="28" t="s">
        <v>116</v>
      </c>
      <c r="B14" s="38" t="n">
        <f aca="false">199</f>
        <v>199</v>
      </c>
      <c r="C14" s="38" t="n">
        <f aca="false">DEVSQ(Dataset!I2:I201)</f>
        <v>3668059.4301995</v>
      </c>
      <c r="D14" s="43"/>
      <c r="E14" s="43"/>
      <c r="F14" s="44"/>
    </row>
    <row r="16" customFormat="false" ht="15" hidden="false" customHeight="true" outlineLevel="0" collapsed="false">
      <c r="A16" s="3" t="s">
        <v>155</v>
      </c>
    </row>
    <row r="17" customFormat="false" ht="15" hidden="false" customHeight="true" outlineLevel="0" collapsed="false">
      <c r="A17" s="41" t="s">
        <v>156</v>
      </c>
      <c r="B17" s="41" t="s">
        <v>157</v>
      </c>
      <c r="C17" s="41" t="s">
        <v>145</v>
      </c>
      <c r="D17" s="41" t="s">
        <v>158</v>
      </c>
    </row>
    <row r="18" customFormat="false" ht="15" hidden="false" customHeight="true" outlineLevel="0" collapsed="false">
      <c r="A18" s="45" t="s">
        <v>159</v>
      </c>
      <c r="B18" s="3" t="n">
        <f aca="false">INTERCEPT(Dataset!I2:I201,Dataset!E2:E201)</f>
        <v>-1.03155049019114</v>
      </c>
      <c r="C18" s="3" t="n">
        <f aca="false">STEYX(Dataset!I2:I201,Dataset!E2:E201)*SQRT(1/COUNT(Dataset!E2:E201)+(AVERAGE(Dataset!E2:E201)^2)/DEVSQ(Dataset!E2:E201))</f>
        <v>20.8606170054455</v>
      </c>
      <c r="D18" s="3" t="n">
        <f aca="false">B18/C18</f>
        <v>-0.049449663445806</v>
      </c>
    </row>
    <row r="19" customFormat="false" ht="15" hidden="false" customHeight="true" outlineLevel="0" collapsed="false">
      <c r="A19" s="3" t="s">
        <v>11</v>
      </c>
      <c r="B19" s="3" t="n">
        <f aca="false">SLOPE(Dataset!I2:I201,Dataset!E2:E201)</f>
        <v>0.350855988195122</v>
      </c>
      <c r="C19" s="3" t="n">
        <f aca="false">STEYX(Dataset!I2:I201,Dataset!E2:E201)/SQRT(DEVSQ(Dataset!E2:E201))</f>
        <v>0.0204371886301356</v>
      </c>
      <c r="D19" s="3" t="n">
        <f aca="false">B19/C19</f>
        <v>17.167527028535</v>
      </c>
    </row>
    <row r="20" customFormat="false" ht="15" hidden="false" customHeight="false" outlineLevel="0" collapsed="false"/>
    <row r="21" customFormat="false" ht="15" hidden="false" customHeight="true" outlineLevel="0" collapsed="false">
      <c r="A21" s="3" t="s">
        <v>160</v>
      </c>
      <c r="B21" s="16" t="str">
        <f aca="false">"Profit = "&amp;TEXT(B18,"0.000")&amp;" + "&amp;TEXT(B19,"0.000")&amp;" × Sales"</f>
        <v>Profit = -1.032 + 0.351 × Sales</v>
      </c>
      <c r="C21" s="16"/>
      <c r="D21" s="16"/>
      <c r="E21" s="16"/>
      <c r="F21" s="16"/>
    </row>
    <row r="22" customFormat="false" ht="15" hidden="false" customHeight="true" outlineLevel="0" collapsed="false">
      <c r="A22" s="3" t="s">
        <v>143</v>
      </c>
      <c r="B22" s="3" t="n">
        <f aca="false">RSQ(Dataset!I2:I201,Dataset!E2:E201)</f>
        <v>0.598152299626441</v>
      </c>
    </row>
    <row r="23" customFormat="false" ht="15" hidden="false" customHeight="true" outlineLevel="0" collapsed="false">
      <c r="A23" s="3" t="s">
        <v>133</v>
      </c>
      <c r="B23" s="16" t="str">
        <f aca="false">"Sales explains "&amp;TEXT(B22,"0.0%")&amp;" of the variation in Profit."</f>
        <v>Sales explains 59.8% of the variation in Profit.</v>
      </c>
      <c r="C23" s="16"/>
      <c r="D23" s="16"/>
      <c r="E23" s="16"/>
      <c r="F23" s="16"/>
    </row>
  </sheetData>
  <mergeCells count="4">
    <mergeCell ref="A1:H1"/>
    <mergeCell ref="A3:D3"/>
    <mergeCell ref="B21:F21"/>
    <mergeCell ref="B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7" min="2" style="1" width="18"/>
    <col collapsed="false" customWidth="true" hidden="false" outlineLevel="0" max="9" min="8" style="0" width="13"/>
  </cols>
  <sheetData>
    <row r="1" customFormat="false" ht="27.75" hidden="false" customHeight="true" outlineLevel="0" collapsed="false">
      <c r="A1" s="2" t="s">
        <v>161</v>
      </c>
      <c r="B1" s="2"/>
      <c r="C1" s="2"/>
      <c r="D1" s="2"/>
      <c r="E1" s="2"/>
      <c r="F1" s="2"/>
      <c r="G1" s="2"/>
      <c r="H1" s="2"/>
      <c r="I1" s="2"/>
    </row>
    <row r="2" customFormat="false" ht="15" hidden="false" customHeight="false" outlineLevel="0" collapsed="false"/>
    <row r="3" customFormat="false" ht="15" hidden="false" customHeight="true" outlineLevel="0" collapsed="false">
      <c r="A3" s="2" t="s">
        <v>162</v>
      </c>
      <c r="B3" s="2"/>
      <c r="C3" s="2"/>
      <c r="D3" s="2"/>
      <c r="E3" s="2"/>
      <c r="F3" s="2"/>
      <c r="G3" s="12"/>
      <c r="H3" s="12"/>
      <c r="I3" s="12"/>
    </row>
    <row r="4" customFormat="false" ht="15" hidden="false" customHeight="true" outlineLevel="0" collapsed="false">
      <c r="A4" s="4" t="s">
        <v>163</v>
      </c>
      <c r="B4" s="4" t="s">
        <v>11</v>
      </c>
      <c r="C4" s="4" t="s">
        <v>15</v>
      </c>
      <c r="D4" s="4" t="s">
        <v>40</v>
      </c>
      <c r="E4" s="4" t="s">
        <v>41</v>
      </c>
    </row>
    <row r="5" customFormat="false" ht="15" hidden="false" customHeight="true" outlineLevel="0" collapsed="false">
      <c r="A5" s="28" t="s">
        <v>164</v>
      </c>
      <c r="B5" s="38" t="n">
        <f aca="false">AVERAGE(Dataset!E2:E201)</f>
        <v>976.0888</v>
      </c>
      <c r="C5" s="38" t="n">
        <f aca="false">AVERAGE(Dataset!I2:I201)</f>
        <v>341.43505</v>
      </c>
      <c r="D5" s="38" t="n">
        <f aca="false">AVERAGE(Dataset!F2:F201)</f>
        <v>9.995</v>
      </c>
      <c r="E5" s="38" t="n">
        <f aca="false">AVERAGE(Dataset!G2:G201)</f>
        <v>0.09725</v>
      </c>
    </row>
    <row r="6" customFormat="false" ht="15" hidden="false" customHeight="true" outlineLevel="0" collapsed="false">
      <c r="A6" s="28" t="s">
        <v>145</v>
      </c>
      <c r="B6" s="38" t="e">
        <f aca="false">stdev.s(Dataset!E2:E201)/SQRT(COUNT(Dataset!E2:E201))</f>
        <v>#NAME?</v>
      </c>
      <c r="C6" s="38" t="e">
        <f aca="false">stdev.s(Dataset!I2:I201)/SQRT(COUNT(Dataset!I2:I201))</f>
        <v>#NAME?</v>
      </c>
      <c r="D6" s="38" t="e">
        <f aca="false">stdev.s(Dataset!F2:F201)/SQRT(COUNT(Dataset!F2:F201))</f>
        <v>#NAME?</v>
      </c>
      <c r="E6" s="38" t="e">
        <f aca="false">stdev.s(Dataset!G2:G201)/SQRT(COUNT(Dataset!G2:G201))</f>
        <v>#NAME?</v>
      </c>
    </row>
    <row r="7" customFormat="false" ht="15" hidden="false" customHeight="true" outlineLevel="0" collapsed="false">
      <c r="A7" s="28" t="s">
        <v>165</v>
      </c>
      <c r="B7" s="38" t="n">
        <f aca="false">MEDIAN(Dataset!E2:E201)</f>
        <v>976.72</v>
      </c>
      <c r="C7" s="38" t="n">
        <f aca="false">MEDIAN(Dataset!I2:I201)</f>
        <v>332.255</v>
      </c>
      <c r="D7" s="38" t="n">
        <f aca="false">MEDIAN(Dataset!F2:F201)</f>
        <v>10</v>
      </c>
      <c r="E7" s="38" t="n">
        <f aca="false">MEDIAN(Dataset!G2:G201)</f>
        <v>0.1</v>
      </c>
    </row>
    <row r="8" customFormat="false" ht="15" hidden="false" customHeight="true" outlineLevel="0" collapsed="false">
      <c r="A8" s="28" t="s">
        <v>166</v>
      </c>
      <c r="B8" s="38" t="e">
        <f aca="false">mode.sngl(Dataset!E2:E201)</f>
        <v>#NAME?</v>
      </c>
      <c r="C8" s="38" t="e">
        <f aca="false">mode.sngl(Dataset!I2:I201)</f>
        <v>#NAME?</v>
      </c>
      <c r="D8" s="38" t="e">
        <f aca="false">mode.sngl(Dataset!F2:F201)</f>
        <v>#NAME?</v>
      </c>
      <c r="E8" s="38" t="e">
        <f aca="false">mode.sngl(Dataset!G2:G201)</f>
        <v>#NAME?</v>
      </c>
    </row>
    <row r="9" customFormat="false" ht="15" hidden="false" customHeight="true" outlineLevel="0" collapsed="false">
      <c r="A9" s="28" t="s">
        <v>167</v>
      </c>
      <c r="B9" s="38" t="e">
        <f aca="false">stdev.s(Dataset!E2:E201)</f>
        <v>#NAME?</v>
      </c>
      <c r="C9" s="38" t="e">
        <f aca="false">stdev.s(Dataset!I2:I201)</f>
        <v>#NAME?</v>
      </c>
      <c r="D9" s="38" t="e">
        <f aca="false">stdev.s(Dataset!F2:F201)</f>
        <v>#NAME?</v>
      </c>
      <c r="E9" s="38" t="e">
        <f aca="false">stdev.s(Dataset!G2:G201)</f>
        <v>#NAME?</v>
      </c>
    </row>
    <row r="10" customFormat="false" ht="15" hidden="false" customHeight="true" outlineLevel="0" collapsed="false">
      <c r="A10" s="28" t="s">
        <v>168</v>
      </c>
      <c r="B10" s="38" t="e">
        <f aca="false">var.s(Dataset!E2:E201)</f>
        <v>#NAME?</v>
      </c>
      <c r="C10" s="38" t="e">
        <f aca="false">var.s(Dataset!I2:I201)</f>
        <v>#NAME?</v>
      </c>
      <c r="D10" s="38" t="e">
        <f aca="false">var.s(Dataset!F2:F201)</f>
        <v>#NAME?</v>
      </c>
      <c r="E10" s="38" t="e">
        <f aca="false">var.s(Dataset!G2:G201)</f>
        <v>#NAME?</v>
      </c>
    </row>
    <row r="11" customFormat="false" ht="15" hidden="false" customHeight="true" outlineLevel="0" collapsed="false">
      <c r="A11" s="28" t="s">
        <v>169</v>
      </c>
      <c r="B11" s="38" t="n">
        <f aca="false">KURT(Dataset!E2:E201)</f>
        <v>-0.0885952319197454</v>
      </c>
      <c r="C11" s="38" t="n">
        <f aca="false">KURT(Dataset!I2:I201)</f>
        <v>0.264506438135828</v>
      </c>
      <c r="D11" s="38" t="n">
        <f aca="false">KURT(Dataset!F2:F201)</f>
        <v>-1.20910538266207</v>
      </c>
      <c r="E11" s="38" t="n">
        <f aca="false">KURT(Dataset!G2:G201)</f>
        <v>-1.32570124158558</v>
      </c>
    </row>
    <row r="12" customFormat="false" ht="15" hidden="false" customHeight="true" outlineLevel="0" collapsed="false">
      <c r="A12" s="28" t="s">
        <v>170</v>
      </c>
      <c r="B12" s="38" t="n">
        <f aca="false">SKEW(Dataset!E2:E201)</f>
        <v>0.146857965641932</v>
      </c>
      <c r="C12" s="38" t="n">
        <f aca="false">SKEW(Dataset!I2:I201)</f>
        <v>0.573396360634248</v>
      </c>
      <c r="D12" s="38" t="n">
        <f aca="false">SKEW(Dataset!F2:F201)</f>
        <v>0.0608458643207785</v>
      </c>
      <c r="E12" s="38" t="n">
        <f aca="false">SKEW(Dataset!G2:G201)</f>
        <v>0.0968273855766847</v>
      </c>
    </row>
    <row r="13" customFormat="false" ht="15" hidden="false" customHeight="true" outlineLevel="0" collapsed="false">
      <c r="A13" s="28" t="s">
        <v>171</v>
      </c>
      <c r="B13" s="38" t="n">
        <f aca="false">MAX(Dataset!E2:E201)-MIN(Dataset!E2:E201)</f>
        <v>1665.15</v>
      </c>
      <c r="C13" s="38" t="n">
        <f aca="false">MAX(Dataset!I2:I201)-MIN(Dataset!I2:I201)</f>
        <v>704.83</v>
      </c>
      <c r="D13" s="38" t="n">
        <f aca="false">MAX(Dataset!F2:F201)-MIN(Dataset!F2:F201)</f>
        <v>18</v>
      </c>
      <c r="E13" s="38" t="n">
        <f aca="false">MAX(Dataset!G2:G201)-MIN(Dataset!G2:G201)</f>
        <v>0.2</v>
      </c>
    </row>
    <row r="14" customFormat="false" ht="15" hidden="false" customHeight="true" outlineLevel="0" collapsed="false">
      <c r="A14" s="28" t="s">
        <v>172</v>
      </c>
      <c r="B14" s="38" t="n">
        <f aca="false">MIN(Dataset!E2:E201)</f>
        <v>258.51</v>
      </c>
      <c r="C14" s="38" t="n">
        <f aca="false">MIN(Dataset!I2:I201)</f>
        <v>64.63</v>
      </c>
      <c r="D14" s="38" t="n">
        <f aca="false">MIN(Dataset!F2:F201)</f>
        <v>1</v>
      </c>
      <c r="E14" s="38" t="n">
        <f aca="false">MIN(Dataset!G2:G201)</f>
        <v>0</v>
      </c>
    </row>
    <row r="15" customFormat="false" ht="15" hidden="false" customHeight="true" outlineLevel="0" collapsed="false">
      <c r="A15" s="28" t="s">
        <v>173</v>
      </c>
      <c r="B15" s="38" t="n">
        <f aca="false">MAX(Dataset!E2:E201)</f>
        <v>1923.66</v>
      </c>
      <c r="C15" s="38" t="n">
        <f aca="false">MAX(Dataset!I2:I201)</f>
        <v>769.46</v>
      </c>
      <c r="D15" s="38" t="n">
        <f aca="false">MAX(Dataset!F2:F201)</f>
        <v>19</v>
      </c>
      <c r="E15" s="38" t="n">
        <f aca="false">MAX(Dataset!G2:G201)</f>
        <v>0.2</v>
      </c>
    </row>
    <row r="16" customFormat="false" ht="15" hidden="false" customHeight="true" outlineLevel="0" collapsed="false">
      <c r="A16" s="28" t="s">
        <v>174</v>
      </c>
      <c r="B16" s="38" t="n">
        <f aca="false">SUM(Dataset!E2:E201)</f>
        <v>195217.76</v>
      </c>
      <c r="C16" s="38" t="n">
        <f aca="false">SUM(Dataset!I2:I201)</f>
        <v>68287.01</v>
      </c>
      <c r="D16" s="38" t="n">
        <f aca="false">SUM(Dataset!F2:F201)</f>
        <v>1999</v>
      </c>
      <c r="E16" s="38" t="n">
        <f aca="false">SUM(Dataset!G2:G201)</f>
        <v>19.45</v>
      </c>
    </row>
    <row r="17" customFormat="false" ht="15" hidden="false" customHeight="true" outlineLevel="0" collapsed="false">
      <c r="A17" s="28" t="s">
        <v>175</v>
      </c>
      <c r="B17" s="38" t="n">
        <f aca="false">COUNT(Dataset!E2:E201)</f>
        <v>200</v>
      </c>
      <c r="C17" s="38" t="n">
        <f aca="false">COUNT(Dataset!I2:I201)</f>
        <v>200</v>
      </c>
      <c r="D17" s="38" t="n">
        <f aca="false">COUNT(Dataset!F2:F201)</f>
        <v>200</v>
      </c>
      <c r="E17" s="38" t="n">
        <f aca="false">COUNT(Dataset!G2:G201)</f>
        <v>200</v>
      </c>
    </row>
    <row r="18" customFormat="false" ht="15" hidden="false" customHeight="false" outlineLevel="0" collapsed="false"/>
    <row r="19" customFormat="false" ht="15" hidden="false" customHeight="true" outlineLevel="0" collapsed="false">
      <c r="A19" s="3" t="s">
        <v>176</v>
      </c>
    </row>
    <row r="20" customFormat="false" ht="15" hidden="false" customHeight="true" outlineLevel="0" collapsed="false">
      <c r="A20" s="3" t="s">
        <v>177</v>
      </c>
      <c r="B20" s="3" t="n">
        <f aca="false">COUNTIFS(Dataset!$E$2:$E$201,"&gt;="&amp;0,Dataset!$E$2:$E$201,"&lt;"&amp;500)</f>
        <v>11</v>
      </c>
    </row>
    <row r="21" customFormat="false" ht="15" hidden="false" customHeight="true" outlineLevel="0" collapsed="false">
      <c r="A21" s="45" t="s">
        <v>178</v>
      </c>
      <c r="B21" s="3" t="n">
        <f aca="false">COUNTIFS(Dataset!$E$2:$E$201,"&gt;="&amp;250,Dataset!$E$2:$E$201,"&lt;"&amp;750)</f>
        <v>48</v>
      </c>
    </row>
    <row r="22" customFormat="false" ht="15" hidden="false" customHeight="true" outlineLevel="0" collapsed="false">
      <c r="A22" s="42" t="s">
        <v>179</v>
      </c>
      <c r="B22" s="42" t="n">
        <f aca="false">COUNTIFS(Dataset!$E$2:$E$201,"&gt;="&amp;500,Dataset!$E$2:$E$201,"&lt;"&amp;1000)</f>
        <v>95</v>
      </c>
    </row>
    <row r="23" customFormat="false" ht="15" hidden="false" customHeight="true" outlineLevel="0" collapsed="false">
      <c r="A23" s="46" t="s">
        <v>180</v>
      </c>
      <c r="B23" s="39" t="n">
        <f aca="false">COUNTIFS(Dataset!$E$2:$E$201,"&gt;="&amp;750,Dataset!$E$2:$E$201,"&lt;"&amp;1250)</f>
        <v>118</v>
      </c>
    </row>
    <row r="24" customFormat="false" ht="15" hidden="false" customHeight="true" outlineLevel="0" collapsed="false">
      <c r="A24" s="46" t="s">
        <v>181</v>
      </c>
      <c r="B24" s="39" t="n">
        <f aca="false">COUNTIFS(Dataset!$E$2:$E$201,"&gt;="&amp;1000,Dataset!$E$2:$E$201,"&lt;"&amp;1500)</f>
        <v>85</v>
      </c>
    </row>
    <row r="25" customFormat="false" ht="15" hidden="false" customHeight="true" outlineLevel="0" collapsed="false">
      <c r="A25" s="46" t="s">
        <v>182</v>
      </c>
      <c r="B25" s="39" t="n">
        <f aca="false">COUNTIFS(Dataset!$E$2:$E$201,"&gt;="&amp;1250,Dataset!$E$2:$E$201,"&lt;"&amp;1750)</f>
        <v>33</v>
      </c>
    </row>
    <row r="26" customFormat="false" ht="15" hidden="false" customHeight="true" outlineLevel="0" collapsed="false">
      <c r="A26" s="46" t="s">
        <v>183</v>
      </c>
      <c r="B26" s="39" t="n">
        <f aca="false">COUNTIFS(Dataset!$E$2:$E$201,"&gt;="&amp;1500,Dataset!$E$2:$E$201,"&lt;"&amp;2000)</f>
        <v>9</v>
      </c>
    </row>
    <row r="27" customFormat="false" ht="15" hidden="false" customHeight="true" outlineLevel="0" collapsed="false">
      <c r="A27" s="46" t="s">
        <v>184</v>
      </c>
      <c r="B27" s="39" t="n">
        <f aca="false">COUNTIF(Dataset!$E$2:$E$201,"&gt;="&amp;1750)</f>
        <v>1</v>
      </c>
    </row>
    <row r="28" customFormat="false" ht="15" hidden="false" customHeight="true" outlineLevel="0" collapsed="false">
      <c r="A28" s="46" t="s">
        <v>185</v>
      </c>
      <c r="B28" s="39" t="n">
        <f aca="false">COUNTIF(Dataset!$E$2:$E$201,"&gt;="&amp;2000)</f>
        <v>0</v>
      </c>
    </row>
    <row r="29" customFormat="false" ht="15" hidden="false" customHeight="true" outlineLevel="0" collapsed="false">
      <c r="A29" s="46" t="s">
        <v>186</v>
      </c>
      <c r="B29" s="39" t="n">
        <f aca="false">COUNTIFS(Dataset!$E$2:$E$201,"&gt;1400",Dataset!$E$2:$E$201,"&lt;=1600")</f>
        <v>14</v>
      </c>
    </row>
    <row r="30" customFormat="false" ht="15" hidden="false" customHeight="true" outlineLevel="0" collapsed="false">
      <c r="A30" s="46" t="s">
        <v>187</v>
      </c>
      <c r="B30" s="39" t="n">
        <f aca="false">COUNTIFS(Dataset!$E$2:$E$201,"&gt;1600",Dataset!$E$2:$E$201,"&lt;=1800")</f>
        <v>3</v>
      </c>
    </row>
    <row r="31" customFormat="false" ht="15" hidden="false" customHeight="true" outlineLevel="0" collapsed="false">
      <c r="A31" s="46" t="s">
        <v>188</v>
      </c>
      <c r="B31" s="39" t="n">
        <f aca="false">COUNTIFS(Dataset!$E$2:$E$201,"&gt;1800",Dataset!$E$2:$E$201,"&lt;=2000")</f>
        <v>1</v>
      </c>
    </row>
  </sheetData>
  <mergeCells count="2">
    <mergeCell ref="A1:I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24"/>
    <col collapsed="false" customWidth="true" hidden="false" outlineLevel="0" max="7" min="4" style="1" width="18"/>
  </cols>
  <sheetData>
    <row r="1" customFormat="false" ht="27.75" hidden="false" customHeight="true" outlineLevel="0" collapsed="false">
      <c r="A1" s="2" t="s">
        <v>189</v>
      </c>
      <c r="B1" s="2"/>
      <c r="C1" s="2"/>
      <c r="D1" s="2"/>
      <c r="E1" s="2"/>
      <c r="F1" s="2"/>
      <c r="G1" s="2"/>
    </row>
    <row r="2" customFormat="false" ht="15" hidden="false" customHeight="false" outlineLevel="0" collapsed="false"/>
    <row r="3" customFormat="false" ht="15" hidden="false" customHeight="true" outlineLevel="0" collapsed="false">
      <c r="A3" s="2" t="s">
        <v>190</v>
      </c>
      <c r="B3" s="2"/>
      <c r="C3" s="2"/>
      <c r="D3" s="2"/>
      <c r="E3" s="2"/>
      <c r="F3" s="2"/>
      <c r="G3" s="12"/>
    </row>
    <row r="4" customFormat="false" ht="15" hidden="false" customHeight="true" outlineLevel="0" collapsed="false">
      <c r="A4" s="4" t="s">
        <v>36</v>
      </c>
      <c r="B4" s="4" t="s">
        <v>191</v>
      </c>
      <c r="C4" s="4" t="s">
        <v>192</v>
      </c>
      <c r="D4" s="4" t="s">
        <v>3</v>
      </c>
      <c r="E4" s="4" t="s">
        <v>12</v>
      </c>
      <c r="F4" s="4" t="s">
        <v>193</v>
      </c>
    </row>
    <row r="5" customFormat="false" ht="15" hidden="false" customHeight="true" outlineLevel="0" collapsed="false">
      <c r="A5" s="28" t="s">
        <v>61</v>
      </c>
      <c r="B5" s="28" t="str">
        <f aca="false">INDEX(Dataset!$B$2:$B$201,MATCH(A5,Dataset!$A$2:$A$201,0))</f>
        <v>Linda Wilson</v>
      </c>
      <c r="C5" s="26" t="n">
        <f aca="false">SUMIF(Dataset!$A$2:$A$201,A5,Dataset!$E$2:$E$201)</f>
        <v>6549.55</v>
      </c>
      <c r="D5" s="26" t="n">
        <f aca="false">SUMIF(Dataset!$A$2:$A$201,A5,Dataset!$I$2:$I$201)</f>
        <v>1868.77</v>
      </c>
      <c r="E5" s="28" t="n">
        <f aca="false">RANK(C5,$C$5:$C$34,0)</f>
        <v>15</v>
      </c>
      <c r="F5" s="28" t="str">
        <f aca="false">IF(E5&lt;=10,"TOP 10","")</f>
        <v/>
      </c>
    </row>
    <row r="6" customFormat="false" ht="15" hidden="false" customHeight="true" outlineLevel="0" collapsed="false">
      <c r="A6" s="28" t="s">
        <v>97</v>
      </c>
      <c r="B6" s="28" t="str">
        <f aca="false">INDEX(Dataset!$B$2:$B$201,MATCH(A6,Dataset!$A$2:$A$201,0))</f>
        <v>Lisa Davis</v>
      </c>
      <c r="C6" s="26" t="n">
        <f aca="false">SUMIF(Dataset!$A$2:$A$201,A6,Dataset!$E$2:$E$201)</f>
        <v>6481.43</v>
      </c>
      <c r="D6" s="26" t="n">
        <f aca="false">SUMIF(Dataset!$A$2:$A$201,A6,Dataset!$I$2:$I$201)</f>
        <v>2210.74</v>
      </c>
      <c r="E6" s="28" t="n">
        <f aca="false">RANK(C6,$C$5:$C$34,0)</f>
        <v>17</v>
      </c>
      <c r="F6" s="28" t="str">
        <f aca="false">IF(E6&lt;=10,"TOP 10","")</f>
        <v/>
      </c>
    </row>
    <row r="7" customFormat="false" ht="15" hidden="false" customHeight="true" outlineLevel="0" collapsed="false">
      <c r="A7" s="28" t="s">
        <v>99</v>
      </c>
      <c r="B7" s="28" t="str">
        <f aca="false">INDEX(Dataset!$B$2:$B$201,MATCH(A7,Dataset!$A$2:$A$201,0))</f>
        <v>Emma Davis</v>
      </c>
      <c r="C7" s="26" t="n">
        <f aca="false">SUMIF(Dataset!$A$2:$A$201,A7,Dataset!$E$2:$E$201)</f>
        <v>8490.18</v>
      </c>
      <c r="D7" s="26" t="n">
        <f aca="false">SUMIF(Dataset!$A$2:$A$201,A7,Dataset!$I$2:$I$201)</f>
        <v>2652.75</v>
      </c>
      <c r="E7" s="28" t="n">
        <f aca="false">RANK(C7,$C$5:$C$34,0)</f>
        <v>7</v>
      </c>
      <c r="F7" s="28" t="str">
        <f aca="false">IF(E7&lt;=10,"TOP 10","")</f>
        <v>TOP 10</v>
      </c>
    </row>
    <row r="8" customFormat="false" ht="15" hidden="false" customHeight="true" outlineLevel="0" collapsed="false">
      <c r="A8" s="28" t="s">
        <v>104</v>
      </c>
      <c r="B8" s="28" t="str">
        <f aca="false">INDEX(Dataset!$B$2:$B$201,MATCH(A8,Dataset!$A$2:$A$201,0))</f>
        <v>Lisa Thomas</v>
      </c>
      <c r="C8" s="26" t="n">
        <f aca="false">SUMIF(Dataset!$A$2:$A$201,A8,Dataset!$E$2:$E$201)</f>
        <v>7813.59</v>
      </c>
      <c r="D8" s="26" t="n">
        <f aca="false">SUMIF(Dataset!$A$2:$A$201,A8,Dataset!$I$2:$I$201)</f>
        <v>3211.82</v>
      </c>
      <c r="E8" s="28" t="n">
        <f aca="false">RANK(C8,$C$5:$C$34,0)</f>
        <v>10</v>
      </c>
      <c r="F8" s="28" t="str">
        <f aca="false">IF(E8&lt;=10,"TOP 10","")</f>
        <v>TOP 10</v>
      </c>
    </row>
    <row r="9" customFormat="false" ht="15" hidden="false" customHeight="true" outlineLevel="0" collapsed="false">
      <c r="A9" s="28" t="s">
        <v>54</v>
      </c>
      <c r="B9" s="28" t="str">
        <f aca="false">INDEX(Dataset!$B$2:$B$201,MATCH(A9,Dataset!$A$2:$A$201,0))</f>
        <v>Robert Anderson</v>
      </c>
      <c r="C9" s="26" t="n">
        <f aca="false">SUMIF(Dataset!$A$2:$A$201,A9,Dataset!$E$2:$E$201)</f>
        <v>6666.13</v>
      </c>
      <c r="D9" s="26" t="n">
        <f aca="false">SUMIF(Dataset!$A$2:$A$201,A9,Dataset!$I$2:$I$201)</f>
        <v>1982.39</v>
      </c>
      <c r="E9" s="28" t="n">
        <f aca="false">RANK(C9,$C$5:$C$34,0)</f>
        <v>14</v>
      </c>
      <c r="F9" s="28" t="str">
        <f aca="false">IF(E9&lt;=10,"TOP 10","")</f>
        <v/>
      </c>
    </row>
    <row r="10" customFormat="false" ht="15" hidden="false" customHeight="true" outlineLevel="0" collapsed="false">
      <c r="A10" s="28" t="s">
        <v>78</v>
      </c>
      <c r="B10" s="28" t="str">
        <f aca="false">INDEX(Dataset!$B$2:$B$201,MATCH(A10,Dataset!$A$2:$A$201,0))</f>
        <v>Mary Jackson</v>
      </c>
      <c r="C10" s="26" t="n">
        <f aca="false">SUMIF(Dataset!$A$2:$A$201,A10,Dataset!$E$2:$E$201)</f>
        <v>2699.75</v>
      </c>
      <c r="D10" s="26" t="n">
        <f aca="false">SUMIF(Dataset!$A$2:$A$201,A10,Dataset!$I$2:$I$201)</f>
        <v>837.06</v>
      </c>
      <c r="E10" s="28" t="n">
        <f aca="false">RANK(C10,$C$5:$C$34,0)</f>
        <v>30</v>
      </c>
      <c r="F10" s="28" t="str">
        <f aca="false">IF(E10&lt;=10,"TOP 10","")</f>
        <v/>
      </c>
    </row>
    <row r="11" customFormat="false" ht="15" hidden="false" customHeight="true" outlineLevel="0" collapsed="false">
      <c r="A11" s="28" t="s">
        <v>59</v>
      </c>
      <c r="B11" s="28" t="str">
        <f aca="false">INDEX(Dataset!$B$2:$B$201,MATCH(A11,Dataset!$A$2:$A$201,0))</f>
        <v>Michael Anderson</v>
      </c>
      <c r="C11" s="26" t="n">
        <f aca="false">SUMIF(Dataset!$A$2:$A$201,A11,Dataset!$E$2:$E$201)</f>
        <v>9941.88</v>
      </c>
      <c r="D11" s="26" t="n">
        <f aca="false">SUMIF(Dataset!$A$2:$A$201,A11,Dataset!$I$2:$I$201)</f>
        <v>3936.26</v>
      </c>
      <c r="E11" s="28" t="n">
        <f aca="false">RANK(C11,$C$5:$C$34,0)</f>
        <v>3</v>
      </c>
      <c r="F11" s="28" t="str">
        <f aca="false">IF(E11&lt;=10,"TOP 10","")</f>
        <v>TOP 10</v>
      </c>
    </row>
    <row r="12" customFormat="false" ht="15" hidden="false" customHeight="true" outlineLevel="0" collapsed="false">
      <c r="A12" s="28" t="s">
        <v>76</v>
      </c>
      <c r="B12" s="28" t="str">
        <f aca="false">INDEX(Dataset!$B$2:$B$201,MATCH(A12,Dataset!$A$2:$A$201,0))</f>
        <v>Robert Anderson</v>
      </c>
      <c r="C12" s="26" t="n">
        <f aca="false">SUMIF(Dataset!$A$2:$A$201,A12,Dataset!$E$2:$E$201)</f>
        <v>9760.8</v>
      </c>
      <c r="D12" s="26" t="n">
        <f aca="false">SUMIF(Dataset!$A$2:$A$201,A12,Dataset!$I$2:$I$201)</f>
        <v>3442.48</v>
      </c>
      <c r="E12" s="28" t="n">
        <f aca="false">RANK(C12,$C$5:$C$34,0)</f>
        <v>4</v>
      </c>
      <c r="F12" s="28" t="str">
        <f aca="false">IF(E12&lt;=10,"TOP 10","")</f>
        <v>TOP 10</v>
      </c>
    </row>
    <row r="13" customFormat="false" ht="15" hidden="false" customHeight="true" outlineLevel="0" collapsed="false">
      <c r="A13" s="28" t="s">
        <v>65</v>
      </c>
      <c r="B13" s="28" t="str">
        <f aca="false">INDEX(Dataset!$B$2:$B$201,MATCH(A13,Dataset!$A$2:$A$201,0))</f>
        <v>Linda Jackson</v>
      </c>
      <c r="C13" s="26" t="n">
        <f aca="false">SUMIF(Dataset!$A$2:$A$201,A13,Dataset!$E$2:$E$201)</f>
        <v>6505.2</v>
      </c>
      <c r="D13" s="26" t="n">
        <f aca="false">SUMIF(Dataset!$A$2:$A$201,A13,Dataset!$I$2:$I$201)</f>
        <v>2052.54</v>
      </c>
      <c r="E13" s="28" t="n">
        <f aca="false">RANK(C13,$C$5:$C$34,0)</f>
        <v>16</v>
      </c>
      <c r="F13" s="28" t="str">
        <f aca="false">IF(E13&lt;=10,"TOP 10","")</f>
        <v/>
      </c>
    </row>
    <row r="14" customFormat="false" ht="15" hidden="false" customHeight="true" outlineLevel="0" collapsed="false">
      <c r="A14" s="28" t="s">
        <v>68</v>
      </c>
      <c r="B14" s="28" t="str">
        <f aca="false">INDEX(Dataset!$B$2:$B$201,MATCH(A14,Dataset!$A$2:$A$201,0))</f>
        <v>David Thomas</v>
      </c>
      <c r="C14" s="26" t="n">
        <f aca="false">SUMIF(Dataset!$A$2:$A$201,A14,Dataset!$E$2:$E$201)</f>
        <v>4259.22</v>
      </c>
      <c r="D14" s="26" t="n">
        <f aca="false">SUMIF(Dataset!$A$2:$A$201,A14,Dataset!$I$2:$I$201)</f>
        <v>1529.32</v>
      </c>
      <c r="E14" s="28" t="n">
        <f aca="false">RANK(C14,$C$5:$C$34,0)</f>
        <v>24</v>
      </c>
      <c r="F14" s="28" t="str">
        <f aca="false">IF(E14&lt;=10,"TOP 10","")</f>
        <v/>
      </c>
    </row>
    <row r="15" customFormat="false" ht="15" hidden="false" customHeight="true" outlineLevel="0" collapsed="false">
      <c r="A15" s="28" t="s">
        <v>95</v>
      </c>
      <c r="B15" s="28" t="str">
        <f aca="false">INDEX(Dataset!$B$2:$B$201,MATCH(A15,Dataset!$A$2:$A$201,0))</f>
        <v>Mary Davis</v>
      </c>
      <c r="C15" s="26" t="n">
        <f aca="false">SUMIF(Dataset!$A$2:$A$201,A15,Dataset!$E$2:$E$201)</f>
        <v>3762.29</v>
      </c>
      <c r="D15" s="26" t="n">
        <f aca="false">SUMIF(Dataset!$A$2:$A$201,A15,Dataset!$I$2:$I$201)</f>
        <v>1545.04</v>
      </c>
      <c r="E15" s="28" t="n">
        <f aca="false">RANK(C15,$C$5:$C$34,0)</f>
        <v>27</v>
      </c>
      <c r="F15" s="28" t="str">
        <f aca="false">IF(E15&lt;=10,"TOP 10","")</f>
        <v/>
      </c>
    </row>
    <row r="16" customFormat="false" ht="15" hidden="false" customHeight="true" outlineLevel="0" collapsed="false">
      <c r="A16" s="28" t="s">
        <v>49</v>
      </c>
      <c r="B16" s="28" t="str">
        <f aca="false">INDEX(Dataset!$B$2:$B$201,MATCH(A16,Dataset!$A$2:$A$201,0))</f>
        <v>Robert Anderson</v>
      </c>
      <c r="C16" s="26" t="n">
        <f aca="false">SUMIF(Dataset!$A$2:$A$201,A16,Dataset!$E$2:$E$201)</f>
        <v>8339</v>
      </c>
      <c r="D16" s="26" t="n">
        <f aca="false">SUMIF(Dataset!$A$2:$A$201,A16,Dataset!$I$2:$I$201)</f>
        <v>2988.71</v>
      </c>
      <c r="E16" s="28" t="n">
        <f aca="false">RANK(C16,$C$5:$C$34,0)</f>
        <v>8</v>
      </c>
      <c r="F16" s="28" t="str">
        <f aca="false">IF(E16&lt;=10,"TOP 10","")</f>
        <v>TOP 10</v>
      </c>
    </row>
    <row r="17" customFormat="false" ht="15" hidden="false" customHeight="true" outlineLevel="0" collapsed="false">
      <c r="A17" s="28" t="s">
        <v>105</v>
      </c>
      <c r="B17" s="28" t="str">
        <f aca="false">INDEX(Dataset!$B$2:$B$201,MATCH(A17,Dataset!$A$2:$A$201,0))</f>
        <v>Robert Anderson</v>
      </c>
      <c r="C17" s="26" t="n">
        <f aca="false">SUMIF(Dataset!$A$2:$A$201,A17,Dataset!$E$2:$E$201)</f>
        <v>4162.44</v>
      </c>
      <c r="D17" s="26" t="n">
        <f aca="false">SUMIF(Dataset!$A$2:$A$201,A17,Dataset!$I$2:$I$201)</f>
        <v>1605.11</v>
      </c>
      <c r="E17" s="28" t="n">
        <f aca="false">RANK(C17,$C$5:$C$34,0)</f>
        <v>25</v>
      </c>
      <c r="F17" s="28" t="str">
        <f aca="false">IF(E17&lt;=10,"TOP 10","")</f>
        <v/>
      </c>
    </row>
    <row r="18" customFormat="false" ht="15" hidden="false" customHeight="true" outlineLevel="0" collapsed="false">
      <c r="A18" s="28" t="s">
        <v>70</v>
      </c>
      <c r="B18" s="28" t="str">
        <f aca="false">INDEX(Dataset!$B$2:$B$201,MATCH(A18,Dataset!$A$2:$A$201,0))</f>
        <v>Emma Davis</v>
      </c>
      <c r="C18" s="26" t="n">
        <f aca="false">SUMIF(Dataset!$A$2:$A$201,A18,Dataset!$E$2:$E$201)</f>
        <v>6729.89</v>
      </c>
      <c r="D18" s="26" t="n">
        <f aca="false">SUMIF(Dataset!$A$2:$A$201,A18,Dataset!$I$2:$I$201)</f>
        <v>2507.18</v>
      </c>
      <c r="E18" s="28" t="n">
        <f aca="false">RANK(C18,$C$5:$C$34,0)</f>
        <v>12</v>
      </c>
      <c r="F18" s="28" t="str">
        <f aca="false">IF(E18&lt;=10,"TOP 10","")</f>
        <v/>
      </c>
    </row>
    <row r="19" customFormat="false" ht="15" hidden="false" customHeight="true" outlineLevel="0" collapsed="false">
      <c r="A19" s="28" t="s">
        <v>90</v>
      </c>
      <c r="B19" s="28" t="str">
        <f aca="false">INDEX(Dataset!$B$2:$B$201,MATCH(A19,Dataset!$A$2:$A$201,0))</f>
        <v>Linda Taylor</v>
      </c>
      <c r="C19" s="26" t="n">
        <f aca="false">SUMIF(Dataset!$A$2:$A$201,A19,Dataset!$E$2:$E$201)</f>
        <v>11611.06</v>
      </c>
      <c r="D19" s="26" t="n">
        <f aca="false">SUMIF(Dataset!$A$2:$A$201,A19,Dataset!$I$2:$I$201)</f>
        <v>4201.59</v>
      </c>
      <c r="E19" s="28" t="n">
        <f aca="false">RANK(C19,$C$5:$C$34,0)</f>
        <v>1</v>
      </c>
      <c r="F19" s="28" t="str">
        <f aca="false">IF(E19&lt;=10,"TOP 10","")</f>
        <v>TOP 10</v>
      </c>
    </row>
    <row r="20" customFormat="false" ht="15" hidden="false" customHeight="true" outlineLevel="0" collapsed="false">
      <c r="A20" s="28" t="s">
        <v>92</v>
      </c>
      <c r="B20" s="28" t="str">
        <f aca="false">INDEX(Dataset!$B$2:$B$201,MATCH(A20,Dataset!$A$2:$A$201,0))</f>
        <v>Emma Wilson</v>
      </c>
      <c r="C20" s="26" t="n">
        <f aca="false">SUMIF(Dataset!$A$2:$A$201,A20,Dataset!$E$2:$E$201)</f>
        <v>3369.17</v>
      </c>
      <c r="D20" s="26" t="n">
        <f aca="false">SUMIF(Dataset!$A$2:$A$201,A20,Dataset!$I$2:$I$201)</f>
        <v>1497.25</v>
      </c>
      <c r="E20" s="28" t="n">
        <f aca="false">RANK(C20,$C$5:$C$34,0)</f>
        <v>29</v>
      </c>
      <c r="F20" s="28" t="str">
        <f aca="false">IF(E20&lt;=10,"TOP 10","")</f>
        <v/>
      </c>
    </row>
    <row r="21" customFormat="false" ht="15" hidden="false" customHeight="true" outlineLevel="0" collapsed="false">
      <c r="A21" s="28" t="s">
        <v>51</v>
      </c>
      <c r="B21" s="28" t="str">
        <f aca="false">INDEX(Dataset!$B$2:$B$201,MATCH(A21,Dataset!$A$2:$A$201,0))</f>
        <v>James Taylor</v>
      </c>
      <c r="C21" s="26" t="n">
        <f aca="false">SUMIF(Dataset!$A$2:$A$201,A21,Dataset!$E$2:$E$201)</f>
        <v>3419.2</v>
      </c>
      <c r="D21" s="26" t="n">
        <f aca="false">SUMIF(Dataset!$A$2:$A$201,A21,Dataset!$I$2:$I$201)</f>
        <v>1257.21</v>
      </c>
      <c r="E21" s="28" t="n">
        <f aca="false">RANK(C21,$C$5:$C$34,0)</f>
        <v>28</v>
      </c>
      <c r="F21" s="28" t="str">
        <f aca="false">IF(E21&lt;=10,"TOP 10","")</f>
        <v/>
      </c>
    </row>
    <row r="22" customFormat="false" ht="15" hidden="false" customHeight="true" outlineLevel="0" collapsed="false">
      <c r="A22" s="28" t="s">
        <v>107</v>
      </c>
      <c r="B22" s="28" t="str">
        <f aca="false">INDEX(Dataset!$B$2:$B$201,MATCH(A22,Dataset!$A$2:$A$201,0))</f>
        <v>Mary Jackson</v>
      </c>
      <c r="C22" s="26" t="n">
        <f aca="false">SUMIF(Dataset!$A$2:$A$201,A22,Dataset!$E$2:$E$201)</f>
        <v>4951.89</v>
      </c>
      <c r="D22" s="26" t="n">
        <f aca="false">SUMIF(Dataset!$A$2:$A$201,A22,Dataset!$I$2:$I$201)</f>
        <v>1821.64</v>
      </c>
      <c r="E22" s="28" t="n">
        <f aca="false">RANK(C22,$C$5:$C$34,0)</f>
        <v>20</v>
      </c>
      <c r="F22" s="28" t="str">
        <f aca="false">IF(E22&lt;=10,"TOP 10","")</f>
        <v/>
      </c>
    </row>
    <row r="23" customFormat="false" ht="15" hidden="false" customHeight="true" outlineLevel="0" collapsed="false">
      <c r="A23" s="28" t="s">
        <v>46</v>
      </c>
      <c r="B23" s="28" t="str">
        <f aca="false">INDEX(Dataset!$B$2:$B$201,MATCH(A23,Dataset!$A$2:$A$201,0))</f>
        <v>James Davis</v>
      </c>
      <c r="C23" s="26" t="n">
        <f aca="false">SUMIF(Dataset!$A$2:$A$201,A23,Dataset!$E$2:$E$201)</f>
        <v>4640.11</v>
      </c>
      <c r="D23" s="26" t="n">
        <f aca="false">SUMIF(Dataset!$A$2:$A$201,A23,Dataset!$I$2:$I$201)</f>
        <v>1721.12</v>
      </c>
      <c r="E23" s="28" t="n">
        <f aca="false">RANK(C23,$C$5:$C$34,0)</f>
        <v>21</v>
      </c>
      <c r="F23" s="28" t="str">
        <f aca="false">IF(E23&lt;=10,"TOP 10","")</f>
        <v/>
      </c>
    </row>
    <row r="24" customFormat="false" ht="15" hidden="false" customHeight="true" outlineLevel="0" collapsed="false">
      <c r="A24" s="28" t="s">
        <v>100</v>
      </c>
      <c r="B24" s="28" t="str">
        <f aca="false">INDEX(Dataset!$B$2:$B$201,MATCH(A24,Dataset!$A$2:$A$201,0))</f>
        <v>David Brown</v>
      </c>
      <c r="C24" s="26" t="n">
        <f aca="false">SUMIF(Dataset!$A$2:$A$201,A24,Dataset!$E$2:$E$201)</f>
        <v>4413.71</v>
      </c>
      <c r="D24" s="26" t="n">
        <f aca="false">SUMIF(Dataset!$A$2:$A$201,A24,Dataset!$I$2:$I$201)</f>
        <v>1664.79</v>
      </c>
      <c r="E24" s="28" t="n">
        <f aca="false">RANK(C24,$C$5:$C$34,0)</f>
        <v>23</v>
      </c>
      <c r="F24" s="28" t="str">
        <f aca="false">IF(E24&lt;=10,"TOP 10","")</f>
        <v/>
      </c>
    </row>
    <row r="25" customFormat="false" ht="15" hidden="false" customHeight="true" outlineLevel="0" collapsed="false">
      <c r="A25" s="28" t="s">
        <v>89</v>
      </c>
      <c r="B25" s="28" t="str">
        <f aca="false">INDEX(Dataset!$B$2:$B$201,MATCH(A25,Dataset!$A$2:$A$201,0))</f>
        <v>Sarah Anderson</v>
      </c>
      <c r="C25" s="26" t="n">
        <f aca="false">SUMIF(Dataset!$A$2:$A$201,A25,Dataset!$E$2:$E$201)</f>
        <v>8740.18</v>
      </c>
      <c r="D25" s="26" t="n">
        <f aca="false">SUMIF(Dataset!$A$2:$A$201,A25,Dataset!$I$2:$I$201)</f>
        <v>2848.62</v>
      </c>
      <c r="E25" s="28" t="n">
        <f aca="false">RANK(C25,$C$5:$C$34,0)</f>
        <v>6</v>
      </c>
      <c r="F25" s="28" t="str">
        <f aca="false">IF(E25&lt;=10,"TOP 10","")</f>
        <v>TOP 10</v>
      </c>
    </row>
    <row r="26" customFormat="false" ht="15" hidden="false" customHeight="true" outlineLevel="0" collapsed="false">
      <c r="A26" s="28" t="s">
        <v>81</v>
      </c>
      <c r="B26" s="28" t="str">
        <f aca="false">INDEX(Dataset!$B$2:$B$201,MATCH(A26,Dataset!$A$2:$A$201,0))</f>
        <v>Robert Anderson</v>
      </c>
      <c r="C26" s="26" t="n">
        <f aca="false">SUMIF(Dataset!$A$2:$A$201,A26,Dataset!$E$2:$E$201)</f>
        <v>4418.28</v>
      </c>
      <c r="D26" s="26" t="n">
        <f aca="false">SUMIF(Dataset!$A$2:$A$201,A26,Dataset!$I$2:$I$201)</f>
        <v>1605.23</v>
      </c>
      <c r="E26" s="28" t="n">
        <f aca="false">RANK(C26,$C$5:$C$34,0)</f>
        <v>22</v>
      </c>
      <c r="F26" s="28" t="str">
        <f aca="false">IF(E26&lt;=10,"TOP 10","")</f>
        <v/>
      </c>
    </row>
    <row r="27" customFormat="false" ht="15" hidden="false" customHeight="true" outlineLevel="0" collapsed="false">
      <c r="A27" s="28" t="s">
        <v>72</v>
      </c>
      <c r="B27" s="28" t="str">
        <f aca="false">INDEX(Dataset!$B$2:$B$201,MATCH(A27,Dataset!$A$2:$A$201,0))</f>
        <v>Robert Anderson</v>
      </c>
      <c r="C27" s="26" t="n">
        <f aca="false">SUMIF(Dataset!$A$2:$A$201,A27,Dataset!$E$2:$E$201)</f>
        <v>5913.68</v>
      </c>
      <c r="D27" s="26" t="n">
        <f aca="false">SUMIF(Dataset!$A$2:$A$201,A27,Dataset!$I$2:$I$201)</f>
        <v>2198.62</v>
      </c>
      <c r="E27" s="28" t="n">
        <f aca="false">RANK(C27,$C$5:$C$34,0)</f>
        <v>18</v>
      </c>
      <c r="F27" s="28" t="str">
        <f aca="false">IF(E27&lt;=10,"TOP 10","")</f>
        <v/>
      </c>
    </row>
    <row r="28" customFormat="false" ht="15" hidden="false" customHeight="true" outlineLevel="0" collapsed="false">
      <c r="A28" s="28" t="s">
        <v>102</v>
      </c>
      <c r="B28" s="28" t="str">
        <f aca="false">INDEX(Dataset!$B$2:$B$201,MATCH(A28,Dataset!$A$2:$A$201,0))</f>
        <v>David Brown</v>
      </c>
      <c r="C28" s="26" t="n">
        <f aca="false">SUMIF(Dataset!$A$2:$A$201,A28,Dataset!$E$2:$E$201)</f>
        <v>7583.13</v>
      </c>
      <c r="D28" s="26" t="n">
        <f aca="false">SUMIF(Dataset!$A$2:$A$201,A28,Dataset!$I$2:$I$201)</f>
        <v>2492.1</v>
      </c>
      <c r="E28" s="28" t="n">
        <f aca="false">RANK(C28,$C$5:$C$34,0)</f>
        <v>11</v>
      </c>
      <c r="F28" s="28" t="str">
        <f aca="false">IF(E28&lt;=10,"TOP 10","")</f>
        <v/>
      </c>
    </row>
    <row r="29" customFormat="false" ht="15" hidden="false" customHeight="true" outlineLevel="0" collapsed="false">
      <c r="A29" s="28" t="s">
        <v>86</v>
      </c>
      <c r="B29" s="28" t="str">
        <f aca="false">INDEX(Dataset!$B$2:$B$201,MATCH(A29,Dataset!$A$2:$A$201,0))</f>
        <v>David Brown</v>
      </c>
      <c r="C29" s="26" t="n">
        <f aca="false">SUMIF(Dataset!$A$2:$A$201,A29,Dataset!$E$2:$E$201)</f>
        <v>6716.52</v>
      </c>
      <c r="D29" s="26" t="n">
        <f aca="false">SUMIF(Dataset!$A$2:$A$201,A29,Dataset!$I$2:$I$201)</f>
        <v>2327.84</v>
      </c>
      <c r="E29" s="28" t="n">
        <f aca="false">RANK(C29,$C$5:$C$34,0)</f>
        <v>13</v>
      </c>
      <c r="F29" s="28" t="str">
        <f aca="false">IF(E29&lt;=10,"TOP 10","")</f>
        <v/>
      </c>
    </row>
    <row r="30" customFormat="false" ht="15" hidden="false" customHeight="true" outlineLevel="0" collapsed="false">
      <c r="A30" s="28" t="s">
        <v>63</v>
      </c>
      <c r="B30" s="28" t="str">
        <f aca="false">INDEX(Dataset!$B$2:$B$201,MATCH(A30,Dataset!$A$2:$A$201,0))</f>
        <v>Mary Davis</v>
      </c>
      <c r="C30" s="26" t="n">
        <f aca="false">SUMIF(Dataset!$A$2:$A$201,A30,Dataset!$E$2:$E$201)</f>
        <v>9371.81</v>
      </c>
      <c r="D30" s="26" t="n">
        <f aca="false">SUMIF(Dataset!$A$2:$A$201,A30,Dataset!$I$2:$I$201)</f>
        <v>2922.02</v>
      </c>
      <c r="E30" s="28" t="n">
        <f aca="false">RANK(C30,$C$5:$C$34,0)</f>
        <v>5</v>
      </c>
      <c r="F30" s="28" t="str">
        <f aca="false">IF(E30&lt;=10,"TOP 10","")</f>
        <v>TOP 10</v>
      </c>
    </row>
    <row r="31" customFormat="false" ht="15" hidden="false" customHeight="true" outlineLevel="0" collapsed="false">
      <c r="A31" s="28" t="s">
        <v>106</v>
      </c>
      <c r="B31" s="28" t="str">
        <f aca="false">INDEX(Dataset!$B$2:$B$201,MATCH(A31,Dataset!$A$2:$A$201,0))</f>
        <v>Emma Davis</v>
      </c>
      <c r="C31" s="26" t="n">
        <f aca="false">SUMIF(Dataset!$A$2:$A$201,A31,Dataset!$E$2:$E$201)</f>
        <v>3906.04</v>
      </c>
      <c r="D31" s="26" t="n">
        <f aca="false">SUMIF(Dataset!$A$2:$A$201,A31,Dataset!$I$2:$I$201)</f>
        <v>1240.65</v>
      </c>
      <c r="E31" s="28" t="n">
        <f aca="false">RANK(C31,$C$5:$C$34,0)</f>
        <v>26</v>
      </c>
      <c r="F31" s="28" t="str">
        <f aca="false">IF(E31&lt;=10,"TOP 10","")</f>
        <v/>
      </c>
    </row>
    <row r="32" customFormat="false" ht="15" hidden="false" customHeight="true" outlineLevel="0" collapsed="false">
      <c r="A32" s="28" t="s">
        <v>84</v>
      </c>
      <c r="B32" s="28" t="str">
        <f aca="false">INDEX(Dataset!$B$2:$B$201,MATCH(A32,Dataset!$A$2:$A$201,0))</f>
        <v>Linda Taylor</v>
      </c>
      <c r="C32" s="26" t="n">
        <f aca="false">SUMIF(Dataset!$A$2:$A$201,A32,Dataset!$E$2:$E$201)</f>
        <v>10293.87</v>
      </c>
      <c r="D32" s="26" t="n">
        <f aca="false">SUMIF(Dataset!$A$2:$A$201,A32,Dataset!$I$2:$I$201)</f>
        <v>3541.02</v>
      </c>
      <c r="E32" s="28" t="n">
        <f aca="false">RANK(C32,$C$5:$C$34,0)</f>
        <v>2</v>
      </c>
      <c r="F32" s="28" t="str">
        <f aca="false">IF(E32&lt;=10,"TOP 10","")</f>
        <v>TOP 10</v>
      </c>
    </row>
    <row r="33" customFormat="false" ht="15" hidden="false" customHeight="true" outlineLevel="0" collapsed="false">
      <c r="A33" s="28" t="s">
        <v>73</v>
      </c>
      <c r="B33" s="28" t="str">
        <f aca="false">INDEX(Dataset!$B$2:$B$201,MATCH(A33,Dataset!$A$2:$A$201,0))</f>
        <v>David Smith</v>
      </c>
      <c r="C33" s="26" t="n">
        <f aca="false">SUMIF(Dataset!$A$2:$A$201,A33,Dataset!$E$2:$E$201)</f>
        <v>5779.05</v>
      </c>
      <c r="D33" s="26" t="n">
        <f aca="false">SUMIF(Dataset!$A$2:$A$201,A33,Dataset!$I$2:$I$201)</f>
        <v>1611.66</v>
      </c>
      <c r="E33" s="28" t="n">
        <f aca="false">RANK(C33,$C$5:$C$34,0)</f>
        <v>19</v>
      </c>
      <c r="F33" s="28" t="str">
        <f aca="false">IF(E33&lt;=10,"TOP 10","")</f>
        <v/>
      </c>
    </row>
    <row r="34" customFormat="false" ht="15" hidden="false" customHeight="true" outlineLevel="0" collapsed="false">
      <c r="A34" s="28" t="s">
        <v>56</v>
      </c>
      <c r="B34" s="28" t="str">
        <f aca="false">INDEX(Dataset!$B$2:$B$201,MATCH(A34,Dataset!$A$2:$A$201,0))</f>
        <v>James Wilson</v>
      </c>
      <c r="C34" s="26" t="n">
        <f aca="false">SUMIF(Dataset!$A$2:$A$201,A34,Dataset!$E$2:$E$201)</f>
        <v>7928.71</v>
      </c>
      <c r="D34" s="26" t="n">
        <f aca="false">SUMIF(Dataset!$A$2:$A$201,A34,Dataset!$I$2:$I$201)</f>
        <v>2965.48</v>
      </c>
      <c r="E34" s="28" t="n">
        <f aca="false">RANK(C34,$C$5:$C$34,0)</f>
        <v>9</v>
      </c>
      <c r="F34" s="28" t="str">
        <f aca="false">IF(E34&lt;=10,"TOP 10","")</f>
        <v>TOP 10</v>
      </c>
    </row>
    <row r="35" customFormat="false" ht="15" hidden="false" customHeight="false" outlineLevel="0" collapsed="false"/>
    <row r="36" customFormat="false" ht="15" hidden="false" customHeight="false" outlineLevel="0" collapsed="false"/>
    <row r="37" customFormat="false" ht="15" hidden="false" customHeight="true" outlineLevel="0" collapsed="false">
      <c r="A37" s="2" t="s">
        <v>8</v>
      </c>
      <c r="B37" s="2"/>
      <c r="C37" s="2"/>
      <c r="D37" s="2"/>
      <c r="E37" s="2"/>
      <c r="F37" s="2"/>
      <c r="G37" s="12"/>
    </row>
    <row r="38" customFormat="false" ht="15" hidden="false" customHeight="true" outlineLevel="0" collapsed="false">
      <c r="A38" s="4" t="s">
        <v>194</v>
      </c>
      <c r="B38" s="47" t="s">
        <v>195</v>
      </c>
      <c r="C38" s="47"/>
      <c r="D38" s="47"/>
      <c r="E38" s="47"/>
      <c r="F38" s="47"/>
    </row>
    <row r="39" customFormat="false" ht="15" hidden="false" customHeight="true" outlineLevel="0" collapsed="false">
      <c r="A39" s="28" t="n">
        <v>1</v>
      </c>
      <c r="B39" s="47"/>
      <c r="C39" s="47"/>
      <c r="D39" s="47"/>
      <c r="E39" s="47"/>
      <c r="F39" s="47"/>
    </row>
    <row r="40" customFormat="false" ht="15" hidden="false" customHeight="true" outlineLevel="0" collapsed="false">
      <c r="A40" s="28" t="n">
        <v>2</v>
      </c>
      <c r="B40" s="28" t="str">
        <f aca="false">INDEX($A$5:$A$34,MATCH(A40,$E$5:$E$34,0))</f>
        <v>CUST028</v>
      </c>
      <c r="C40" s="28" t="str">
        <f aca="false">INDEX($B$5:$B$34,MATCH(A40,$E$5:$E$34,0))</f>
        <v>Linda Taylor</v>
      </c>
      <c r="D40" s="26" t="n">
        <f aca="false">INDEX($C$5:$C$34,MATCH(A40,$E$5:$E$34,0))</f>
        <v>10293.87</v>
      </c>
      <c r="E40" s="26" t="n">
        <f aca="false">INDEX($D$5:$D$34,MATCH(A40,$E$5:$E$34,0))</f>
        <v>3541.02</v>
      </c>
      <c r="F40" s="28" t="s">
        <v>196</v>
      </c>
    </row>
    <row r="41" customFormat="false" ht="15" hidden="false" customHeight="true" outlineLevel="0" collapsed="false">
      <c r="A41" s="28" t="n">
        <v>3</v>
      </c>
      <c r="B41" s="28" t="str">
        <f aca="false">INDEX($A$5:$A$34,MATCH(A41,$E$5:$E$34,0))</f>
        <v>CUST007</v>
      </c>
      <c r="C41" s="28" t="str">
        <f aca="false">INDEX($B$5:$B$34,MATCH(A41,$E$5:$E$34,0))</f>
        <v>Michael Anderson</v>
      </c>
      <c r="D41" s="26" t="n">
        <f aca="false">INDEX($C$5:$C$34,MATCH(A41,$E$5:$E$34,0))</f>
        <v>9941.88</v>
      </c>
      <c r="E41" s="26" t="n">
        <f aca="false">INDEX($D$5:$D$34,MATCH(A41,$E$5:$E$34,0))</f>
        <v>3936.26</v>
      </c>
      <c r="F41" s="28" t="s">
        <v>196</v>
      </c>
    </row>
    <row r="42" customFormat="false" ht="15" hidden="false" customHeight="true" outlineLevel="0" collapsed="false">
      <c r="A42" s="28" t="n">
        <v>4</v>
      </c>
      <c r="B42" s="28" t="str">
        <f aca="false">INDEX($A$5:$A$34,MATCH(A42,$E$5:$E$34,0))</f>
        <v>CUST008</v>
      </c>
      <c r="C42" s="28" t="str">
        <f aca="false">INDEX($B$5:$B$34,MATCH(A42,$E$5:$E$34,0))</f>
        <v>Robert Anderson</v>
      </c>
      <c r="D42" s="26" t="n">
        <f aca="false">INDEX($C$5:$C$34,MATCH(A42,$E$5:$E$34,0))</f>
        <v>9760.8</v>
      </c>
      <c r="E42" s="26" t="n">
        <f aca="false">INDEX($D$5:$D$34,MATCH(A42,$E$5:$E$34,0))</f>
        <v>3442.48</v>
      </c>
      <c r="F42" s="28" t="s">
        <v>196</v>
      </c>
    </row>
    <row r="43" customFormat="false" ht="15" hidden="false" customHeight="true" outlineLevel="0" collapsed="false">
      <c r="A43" s="28" t="n">
        <v>5</v>
      </c>
      <c r="B43" s="28" t="str">
        <f aca="false">INDEX($A$5:$A$34,MATCH(A43,$E$5:$E$34,0))</f>
        <v>CUST026</v>
      </c>
      <c r="C43" s="28" t="str">
        <f aca="false">INDEX($B$5:$B$34,MATCH(A43,$E$5:$E$34,0))</f>
        <v>Mary Davis</v>
      </c>
      <c r="D43" s="26" t="n">
        <f aca="false">INDEX($C$5:$C$34,MATCH(A43,$E$5:$E$34,0))</f>
        <v>9371.81</v>
      </c>
      <c r="E43" s="26" t="n">
        <f aca="false">INDEX($D$5:$D$34,MATCH(A43,$E$5:$E$34,0))</f>
        <v>2922.02</v>
      </c>
      <c r="F43" s="28" t="s">
        <v>196</v>
      </c>
    </row>
    <row r="44" customFormat="false" ht="15" hidden="false" customHeight="true" outlineLevel="0" collapsed="false">
      <c r="A44" s="28" t="n">
        <v>6</v>
      </c>
      <c r="B44" s="28" t="str">
        <f aca="false">INDEX($A$5:$A$34,MATCH(A44,$E$5:$E$34,0))</f>
        <v>CUST021</v>
      </c>
      <c r="C44" s="28" t="str">
        <f aca="false">INDEX($B$5:$B$34,MATCH(A44,$E$5:$E$34,0))</f>
        <v>Sarah Anderson</v>
      </c>
      <c r="D44" s="26" t="n">
        <f aca="false">INDEX($C$5:$C$34,MATCH(A44,$E$5:$E$34,0))</f>
        <v>8740.18</v>
      </c>
      <c r="E44" s="26" t="n">
        <f aca="false">INDEX($D$5:$D$34,MATCH(A44,$E$5:$E$34,0))</f>
        <v>2848.62</v>
      </c>
      <c r="F44" s="28" t="s">
        <v>196</v>
      </c>
    </row>
    <row r="45" customFormat="false" ht="15" hidden="false" customHeight="true" outlineLevel="0" collapsed="false">
      <c r="A45" s="28" t="n">
        <v>7</v>
      </c>
      <c r="B45" s="28" t="str">
        <f aca="false">INDEX($A$5:$A$34,MATCH(A45,$E$5:$E$34,0))</f>
        <v>CUST003</v>
      </c>
      <c r="C45" s="28" t="str">
        <f aca="false">INDEX($B$5:$B$34,MATCH(A45,$E$5:$E$34,0))</f>
        <v>Emma Davis</v>
      </c>
      <c r="D45" s="26" t="n">
        <f aca="false">INDEX($C$5:$C$34,MATCH(A45,$E$5:$E$34,0))</f>
        <v>8490.18</v>
      </c>
      <c r="E45" s="26" t="n">
        <f aca="false">INDEX($D$5:$D$34,MATCH(A45,$E$5:$E$34,0))</f>
        <v>2652.75</v>
      </c>
      <c r="F45" s="28" t="s">
        <v>196</v>
      </c>
    </row>
    <row r="46" customFormat="false" ht="15" hidden="false" customHeight="true" outlineLevel="0" collapsed="false">
      <c r="A46" s="28" t="n">
        <v>8</v>
      </c>
      <c r="B46" s="28" t="str">
        <f aca="false">INDEX($A$5:$A$34,MATCH(A46,$E$5:$E$34,0))</f>
        <v>CUST012</v>
      </c>
      <c r="C46" s="28" t="str">
        <f aca="false">INDEX($B$5:$B$34,MATCH(A46,$E$5:$E$34,0))</f>
        <v>Robert Anderson</v>
      </c>
      <c r="D46" s="26" t="n">
        <f aca="false">INDEX($C$5:$C$34,MATCH(A46,$E$5:$E$34,0))</f>
        <v>8339</v>
      </c>
      <c r="E46" s="26" t="n">
        <f aca="false">INDEX($D$5:$D$34,MATCH(A46,$E$5:$E$34,0))</f>
        <v>2988.71</v>
      </c>
      <c r="F46" s="28" t="s">
        <v>196</v>
      </c>
    </row>
    <row r="47" customFormat="false" ht="15" hidden="false" customHeight="true" outlineLevel="0" collapsed="false">
      <c r="A47" s="28" t="n">
        <v>9</v>
      </c>
      <c r="B47" s="28" t="str">
        <f aca="false">INDEX($A$5:$A$34,MATCH(A47,$E$5:$E$34,0))</f>
        <v>CUST030</v>
      </c>
      <c r="C47" s="28" t="str">
        <f aca="false">INDEX($B$5:$B$34,MATCH(A47,$E$5:$E$34,0))</f>
        <v>James Wilson</v>
      </c>
      <c r="D47" s="26" t="n">
        <f aca="false">INDEX($C$5:$C$34,MATCH(A47,$E$5:$E$34,0))</f>
        <v>7928.71</v>
      </c>
      <c r="E47" s="26" t="n">
        <f aca="false">INDEX($D$5:$D$34,MATCH(A47,$E$5:$E$34,0))</f>
        <v>2965.48</v>
      </c>
      <c r="F47" s="28" t="s">
        <v>196</v>
      </c>
    </row>
    <row r="48" customFormat="false" ht="15" hidden="false" customHeight="true" outlineLevel="0" collapsed="false">
      <c r="A48" s="28" t="n">
        <v>10</v>
      </c>
      <c r="B48" s="28" t="str">
        <f aca="false">INDEX($A$5:$A$34,MATCH(A48,$E$5:$E$34,0))</f>
        <v>CUST004</v>
      </c>
      <c r="C48" s="28" t="str">
        <f aca="false">INDEX($B$5:$B$34,MATCH(A48,$E$5:$E$34,0))</f>
        <v>Lisa Thomas</v>
      </c>
      <c r="D48" s="26" t="n">
        <f aca="false">INDEX($C$5:$C$34,MATCH(A48,$E$5:$E$34,0))</f>
        <v>7813.59</v>
      </c>
      <c r="E48" s="26" t="n">
        <f aca="false">INDEX($D$5:$D$34,MATCH(A48,$E$5:$E$34,0))</f>
        <v>3211.82</v>
      </c>
      <c r="F48" s="28" t="s">
        <v>196</v>
      </c>
    </row>
    <row r="49" customFormat="false" ht="15" hidden="false" customHeight="false" outlineLevel="0" collapsed="false"/>
    <row r="50" customFormat="false" ht="15" hidden="false" customHeight="false" outlineLevel="0" collapsed="false"/>
    <row r="51" customFormat="false" ht="15" hidden="false" customHeight="true" outlineLevel="0" collapsed="false">
      <c r="A51" s="30" t="s">
        <v>115</v>
      </c>
      <c r="B51" s="12"/>
      <c r="C51" s="12"/>
      <c r="D51" s="12"/>
      <c r="E51" s="12"/>
      <c r="F51" s="12"/>
      <c r="G51" s="12"/>
    </row>
    <row r="52" customFormat="false" ht="15" hidden="false" customHeight="true" outlineLevel="0" collapsed="false">
      <c r="A52" s="4" t="s">
        <v>197</v>
      </c>
      <c r="B52" s="4" t="s">
        <v>16</v>
      </c>
      <c r="C52" s="4" t="s">
        <v>17</v>
      </c>
      <c r="D52" s="4" t="s">
        <v>18</v>
      </c>
      <c r="E52" s="4" t="s">
        <v>19</v>
      </c>
      <c r="F52" s="4" t="s">
        <v>20</v>
      </c>
      <c r="G52" s="4" t="s">
        <v>116</v>
      </c>
    </row>
    <row r="53" customFormat="false" ht="15" hidden="false" customHeight="true" outlineLevel="0" collapsed="false">
      <c r="A53" s="28" t="s">
        <v>67</v>
      </c>
      <c r="B53" s="26" t="n">
        <f aca="false">SUMIFS(Dataset!$E$2:$E$201,Dataset!$C$2:$C$201,$A53,Dataset!$D$2:$D$201,B$52)</f>
        <v>11297.15</v>
      </c>
      <c r="C53" s="26" t="n">
        <f aca="false">SUMIFS(Dataset!$E$2:$E$201,Dataset!$C$2:$C$201,$A53,Dataset!$D$2:$D$201,C$52)</f>
        <v>12200.26</v>
      </c>
      <c r="D53" s="26" t="n">
        <f aca="false">SUMIFS(Dataset!$E$2:$E$201,Dataset!$C$2:$C$201,$A53,Dataset!$D$2:$D$201,D$52)</f>
        <v>6621.24</v>
      </c>
      <c r="E53" s="26" t="n">
        <f aca="false">SUMIFS(Dataset!$E$2:$E$201,Dataset!$C$2:$C$201,$A53,Dataset!$D$2:$D$201,E$52)</f>
        <v>4876.96</v>
      </c>
      <c r="F53" s="26" t="n">
        <f aca="false">SUMIFS(Dataset!$E$2:$E$201,Dataset!$C$2:$C$201,$A53,Dataset!$D$2:$D$201,F$52)</f>
        <v>8472.72</v>
      </c>
      <c r="G53" s="26" t="n">
        <f aca="false">SUM(B53:F53)</f>
        <v>43468.33</v>
      </c>
    </row>
    <row r="54" customFormat="false" ht="15" hidden="false" customHeight="true" outlineLevel="0" collapsed="false">
      <c r="A54" s="28" t="s">
        <v>53</v>
      </c>
      <c r="B54" s="26" t="n">
        <f aca="false">SUMIFS(Dataset!$E$2:$E$201,Dataset!$C$2:$C$201,$A54,Dataset!$D$2:$D$201,B$52)</f>
        <v>11389.09</v>
      </c>
      <c r="C54" s="26" t="n">
        <f aca="false">SUMIFS(Dataset!$E$2:$E$201,Dataset!$C$2:$C$201,$A54,Dataset!$D$2:$D$201,C$52)</f>
        <v>2401.45</v>
      </c>
      <c r="D54" s="26" t="n">
        <f aca="false">SUMIFS(Dataset!$E$2:$E$201,Dataset!$C$2:$C$201,$A54,Dataset!$D$2:$D$201,D$52)</f>
        <v>2869.54</v>
      </c>
      <c r="E54" s="26" t="n">
        <f aca="false">SUMIFS(Dataset!$E$2:$E$201,Dataset!$C$2:$C$201,$A54,Dataset!$D$2:$D$201,E$52)</f>
        <v>7592.34</v>
      </c>
      <c r="F54" s="26" t="n">
        <f aca="false">SUMIFS(Dataset!$E$2:$E$201,Dataset!$C$2:$C$201,$A54,Dataset!$D$2:$D$201,F$52)</f>
        <v>8189.22</v>
      </c>
      <c r="G54" s="26" t="n">
        <f aca="false">SUM(B54:F54)</f>
        <v>32441.64</v>
      </c>
    </row>
    <row r="55" customFormat="false" ht="15" hidden="false" customHeight="true" outlineLevel="0" collapsed="false">
      <c r="A55" s="28" t="s">
        <v>58</v>
      </c>
      <c r="B55" s="26" t="n">
        <f aca="false">SUMIFS(Dataset!$E$2:$E$201,Dataset!$C$2:$C$201,$A55,Dataset!$D$2:$D$201,B$52)</f>
        <v>8037.01</v>
      </c>
      <c r="C55" s="26" t="n">
        <f aca="false">SUMIFS(Dataset!$E$2:$E$201,Dataset!$C$2:$C$201,$A55,Dataset!$D$2:$D$201,C$52)</f>
        <v>8422.82</v>
      </c>
      <c r="D55" s="26" t="n">
        <f aca="false">SUMIFS(Dataset!$E$2:$E$201,Dataset!$C$2:$C$201,$A55,Dataset!$D$2:$D$201,D$52)</f>
        <v>8191.71</v>
      </c>
      <c r="E55" s="26" t="n">
        <f aca="false">SUMIFS(Dataset!$E$2:$E$201,Dataset!$C$2:$C$201,$A55,Dataset!$D$2:$D$201,E$52)</f>
        <v>6978.08</v>
      </c>
      <c r="F55" s="26" t="n">
        <f aca="false">SUMIFS(Dataset!$E$2:$E$201,Dataset!$C$2:$C$201,$A55,Dataset!$D$2:$D$201,F$52)</f>
        <v>3345.8</v>
      </c>
      <c r="G55" s="26" t="n">
        <f aca="false">SUM(B55:F55)</f>
        <v>34975.42</v>
      </c>
    </row>
    <row r="56" customFormat="false" ht="15" hidden="false" customHeight="true" outlineLevel="0" collapsed="false">
      <c r="A56" s="28" t="s">
        <v>55</v>
      </c>
      <c r="B56" s="26" t="n">
        <f aca="false">SUMIFS(Dataset!$E$2:$E$201,Dataset!$C$2:$C$201,$A56,Dataset!$D$2:$D$201,B$52)</f>
        <v>9588.04</v>
      </c>
      <c r="C56" s="26" t="n">
        <f aca="false">SUMIFS(Dataset!$E$2:$E$201,Dataset!$C$2:$C$201,$A56,Dataset!$D$2:$D$201,C$52)</f>
        <v>8393.63</v>
      </c>
      <c r="D56" s="26" t="n">
        <f aca="false">SUMIFS(Dataset!$E$2:$E$201,Dataset!$C$2:$C$201,$A56,Dataset!$D$2:$D$201,D$52)</f>
        <v>11989.07</v>
      </c>
      <c r="E56" s="26" t="n">
        <f aca="false">SUMIFS(Dataset!$E$2:$E$201,Dataset!$C$2:$C$201,$A56,Dataset!$D$2:$D$201,E$52)</f>
        <v>7982.73</v>
      </c>
      <c r="F56" s="26" t="n">
        <f aca="false">SUMIFS(Dataset!$E$2:$E$201,Dataset!$C$2:$C$201,$A56,Dataset!$D$2:$D$201,F$52)</f>
        <v>2295.32</v>
      </c>
      <c r="G56" s="26" t="n">
        <f aca="false">SUM(B56:F56)</f>
        <v>40248.79</v>
      </c>
    </row>
    <row r="57" customFormat="false" ht="15" hidden="false" customHeight="true" outlineLevel="0" collapsed="false">
      <c r="A57" s="28" t="s">
        <v>48</v>
      </c>
      <c r="B57" s="26" t="n">
        <f aca="false">SUMIFS(Dataset!$E$2:$E$201,Dataset!$C$2:$C$201,$A57,Dataset!$D$2:$D$201,B$52)</f>
        <v>6691.17</v>
      </c>
      <c r="C57" s="26" t="n">
        <f aca="false">SUMIFS(Dataset!$E$2:$E$201,Dataset!$C$2:$C$201,$A57,Dataset!$D$2:$D$201,C$52)</f>
        <v>10509.43</v>
      </c>
      <c r="D57" s="26" t="n">
        <f aca="false">SUMIFS(Dataset!$E$2:$E$201,Dataset!$C$2:$C$201,$A57,Dataset!$D$2:$D$201,D$52)</f>
        <v>11372.44</v>
      </c>
      <c r="E57" s="26" t="n">
        <f aca="false">SUMIFS(Dataset!$E$2:$E$201,Dataset!$C$2:$C$201,$A57,Dataset!$D$2:$D$201,E$52)</f>
        <v>9182.78</v>
      </c>
      <c r="F57" s="26" t="n">
        <f aca="false">SUMIFS(Dataset!$E$2:$E$201,Dataset!$C$2:$C$201,$A57,Dataset!$D$2:$D$201,F$52)</f>
        <v>6327.76</v>
      </c>
      <c r="G57" s="26" t="n">
        <f aca="false">SUM(B57:F57)</f>
        <v>44083.58</v>
      </c>
    </row>
    <row r="58" customFormat="false" ht="15" hidden="false" customHeight="true" outlineLevel="0" collapsed="false">
      <c r="A58" s="28" t="s">
        <v>198</v>
      </c>
      <c r="B58" s="26" t="n">
        <f aca="false">SUM(B53:B57)</f>
        <v>47002.46</v>
      </c>
      <c r="C58" s="26" t="n">
        <f aca="false">SUM(C53:C57)</f>
        <v>41927.59</v>
      </c>
      <c r="D58" s="26" t="n">
        <f aca="false">SUM(D53:D57)</f>
        <v>41044</v>
      </c>
      <c r="E58" s="26" t="n">
        <f aca="false">SUM(E53:E57)</f>
        <v>36612.89</v>
      </c>
      <c r="F58" s="26" t="n">
        <f aca="false">SUM(F53:F57)</f>
        <v>28630.82</v>
      </c>
      <c r="G58" s="22" t="n">
        <f aca="false">SUM(G53:G57)</f>
        <v>195217.76</v>
      </c>
    </row>
  </sheetData>
  <mergeCells count="4">
    <mergeCell ref="A1:G1"/>
    <mergeCell ref="A3:F3"/>
    <mergeCell ref="A37:F37"/>
    <mergeCell ref="B38:F39"/>
  </mergeCells>
  <conditionalFormatting sqref="C5:C34">
    <cfRule type="colorScale" priority="2">
      <colorScale>
        <cfvo type="min" val="0"/>
        <cfvo type="percentile" val="50"/>
        <cfvo type="max" val="0"/>
        <color rgb="FFF8696B"/>
        <color rgb="FFFFEB84"/>
        <color rgb="FF63BE7B"/>
      </colorScale>
    </cfRule>
  </conditionalFormatting>
  <conditionalFormatting sqref="A5:F34">
    <cfRule type="expression" priority="3" aboveAverage="0" equalAverage="0" bottom="0" percent="0" rank="0" text="" dxfId="3">
      <formula>$E5&lt;=10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2026-10-08T10:08:51Z</dcterms:created>
  <dc:creator>openpyxl</dc:creator>
  <dc:description/>
  <dc:language>en-US</dc:language>
  <cp:lastModifiedBy/>
  <dcterms:modified xsi:type="dcterms:W3CDTF">2026-10-08T10:23:20Z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